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even.zhang\AppData\Local\Programs\Git\git\clamc_yield_report\reference\"/>
    </mc:Choice>
  </mc:AlternateContent>
  <xr:revisionPtr revIDLastSave="0" documentId="13_ncr:1_{EFF7D12C-2F5D-4CA2-A725-35E885583E14}" xr6:coauthVersionLast="45" xr6:coauthVersionMax="45" xr10:uidLastSave="{00000000-0000-0000-0000-000000000000}"/>
  <bookViews>
    <workbookView xWindow="28680" yWindow="-120" windowWidth="29040" windowHeight="15840" xr2:uid="{03EDCEC2-7A62-4842-A00E-4319C8C9FA05}"/>
  </bookViews>
  <sheets>
    <sheet name="examples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88" i="3" l="1"/>
  <c r="C272" i="3"/>
  <c r="B269" i="3"/>
  <c r="C260" i="3"/>
  <c r="C269" i="3" s="1"/>
  <c r="C259" i="3"/>
  <c r="C257" i="3"/>
  <c r="B260" i="3"/>
  <c r="B259" i="3"/>
  <c r="B251" i="3"/>
  <c r="B250" i="3"/>
  <c r="C248" i="3"/>
  <c r="E187" i="3"/>
  <c r="D86" i="3" s="1"/>
  <c r="E196" i="3"/>
  <c r="D95" i="3" s="1"/>
  <c r="E195" i="3"/>
  <c r="D94" i="3" s="1"/>
  <c r="E194" i="3"/>
  <c r="D93" i="3" s="1"/>
  <c r="E193" i="3"/>
  <c r="D92" i="3" s="1"/>
  <c r="E192" i="3"/>
  <c r="D91" i="3" s="1"/>
  <c r="E191" i="3"/>
  <c r="D90" i="3" s="1"/>
  <c r="E190" i="3"/>
  <c r="D89" i="3" s="1"/>
  <c r="E188" i="3"/>
  <c r="D87" i="3" s="1"/>
  <c r="E186" i="3"/>
  <c r="D85" i="3" s="1"/>
  <c r="B180" i="3"/>
  <c r="B179" i="3"/>
  <c r="B178" i="3"/>
  <c r="B177" i="3"/>
  <c r="B176" i="3"/>
  <c r="B175" i="3"/>
  <c r="B174" i="3"/>
  <c r="B173" i="3"/>
  <c r="B172" i="3"/>
  <c r="B171" i="3"/>
  <c r="B170" i="3"/>
  <c r="C168" i="3"/>
  <c r="B120" i="3"/>
  <c r="C113" i="3"/>
  <c r="B145" i="3"/>
  <c r="B144" i="3"/>
  <c r="B143" i="3"/>
  <c r="B142" i="3"/>
  <c r="B141" i="3"/>
  <c r="B140" i="3"/>
  <c r="B139" i="3"/>
  <c r="C137" i="3"/>
  <c r="B79" i="3"/>
  <c r="B78" i="3"/>
  <c r="B77" i="3"/>
  <c r="B76" i="3"/>
  <c r="B75" i="3"/>
  <c r="B74" i="3"/>
  <c r="B73" i="3"/>
  <c r="B72" i="3"/>
  <c r="C70" i="3"/>
  <c r="B36" i="3"/>
  <c r="B35" i="3"/>
  <c r="B34" i="3"/>
  <c r="B33" i="3"/>
  <c r="B32" i="3"/>
  <c r="B31" i="3"/>
  <c r="A36" i="3"/>
  <c r="A35" i="3"/>
  <c r="A34" i="3"/>
  <c r="A33" i="3"/>
  <c r="A32" i="3"/>
  <c r="A31" i="3"/>
  <c r="C29" i="3"/>
  <c r="C267" i="3" l="1"/>
  <c r="B252" i="3"/>
  <c r="C119" i="3"/>
  <c r="B181" i="3"/>
  <c r="C173" i="3" s="1"/>
  <c r="C116" i="3"/>
  <c r="E189" i="3"/>
  <c r="D88" i="3" s="1"/>
  <c r="C118" i="3"/>
  <c r="C117" i="3"/>
  <c r="C115" i="3"/>
  <c r="B146" i="3"/>
  <c r="B37" i="3"/>
  <c r="C36" i="3" s="1"/>
  <c r="D12" i="3" s="1"/>
  <c r="B80" i="3"/>
  <c r="C76" i="3" s="1"/>
  <c r="D46" i="3" s="1"/>
  <c r="E46" i="3" s="1"/>
  <c r="C174" i="3" l="1"/>
  <c r="C170" i="3"/>
  <c r="C180" i="3"/>
  <c r="C175" i="3"/>
  <c r="C179" i="3"/>
  <c r="C176" i="3"/>
  <c r="C171" i="3"/>
  <c r="C177" i="3"/>
  <c r="C172" i="3"/>
  <c r="C178" i="3"/>
  <c r="C145" i="3"/>
  <c r="C141" i="3"/>
  <c r="C144" i="3"/>
  <c r="C142" i="3"/>
  <c r="C143" i="3"/>
  <c r="C140" i="3"/>
  <c r="C139" i="3"/>
  <c r="C79" i="3"/>
  <c r="D49" i="3" s="1"/>
  <c r="E49" i="3" s="1"/>
  <c r="C35" i="3"/>
  <c r="D11" i="3" s="1"/>
  <c r="C32" i="3"/>
  <c r="D8" i="3" s="1"/>
  <c r="C31" i="3"/>
  <c r="D7" i="3" s="1"/>
  <c r="C33" i="3"/>
  <c r="D9" i="3" s="1"/>
  <c r="C77" i="3"/>
  <c r="D47" i="3" s="1"/>
  <c r="E47" i="3" s="1"/>
  <c r="C74" i="3"/>
  <c r="D44" i="3" s="1"/>
  <c r="E44" i="3" s="1"/>
  <c r="C73" i="3"/>
  <c r="D43" i="3" s="1"/>
  <c r="E43" i="3" s="1"/>
  <c r="C34" i="3"/>
  <c r="D10" i="3" s="1"/>
  <c r="C72" i="3"/>
  <c r="D42" i="3" s="1"/>
  <c r="E42" i="3" s="1"/>
  <c r="C75" i="3"/>
  <c r="D45" i="3" s="1"/>
  <c r="E45" i="3" s="1"/>
  <c r="C78" i="3"/>
  <c r="D48" i="3" s="1"/>
  <c r="E48" i="3" s="1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50" i="3" l="1"/>
  <c r="E236" i="3"/>
  <c r="E95" i="3"/>
  <c r="E94" i="3"/>
  <c r="E93" i="3"/>
  <c r="E92" i="3"/>
  <c r="E91" i="3"/>
  <c r="E90" i="3"/>
  <c r="E89" i="3"/>
  <c r="E88" i="3"/>
  <c r="E87" i="3"/>
  <c r="E86" i="3"/>
  <c r="E85" i="3"/>
  <c r="E96" i="3" l="1"/>
  <c r="E12" i="3" l="1"/>
  <c r="E8" i="3"/>
  <c r="E9" i="3"/>
  <c r="E7" i="3"/>
  <c r="E10" i="3"/>
  <c r="E11" i="3"/>
  <c r="E13" i="3" l="1"/>
</calcChain>
</file>

<file path=xl/sharedStrings.xml><?xml version="1.0" encoding="utf-8"?>
<sst xmlns="http://schemas.openxmlformats.org/spreadsheetml/2006/main" count="521" uniqueCount="122">
  <si>
    <t>Interest Income</t>
  </si>
  <si>
    <t>PortfolioInfo</t>
  </si>
  <si>
    <t>Investment</t>
  </si>
  <si>
    <t>AccrualDaysInfo</t>
  </si>
  <si>
    <t>AccrualFrequencyInfo</t>
  </si>
  <si>
    <t>Date</t>
  </si>
  <si>
    <t>Textbox84</t>
  </si>
  <si>
    <t>Textbox90</t>
  </si>
  <si>
    <t>LotID</t>
  </si>
  <si>
    <t>Textbox85</t>
  </si>
  <si>
    <t>Textbox91</t>
  </si>
  <si>
    <t>LotQuantity</t>
  </si>
  <si>
    <t>IndexName</t>
  </si>
  <si>
    <t>LotSumOfChangeInAI</t>
  </si>
  <si>
    <t>LotSumOfBeginBalanceLocal</t>
  </si>
  <si>
    <t>LotSumOfChangeAILocal</t>
  </si>
  <si>
    <t>LotSumOfPurSoldPaidRecLocal</t>
  </si>
  <si>
    <t>LotSumOfEndAccrualBalanceLocal</t>
  </si>
  <si>
    <t>LotSumOfChangeInAIBook</t>
  </si>
  <si>
    <t>LotSumOfEndBalanceBook</t>
  </si>
  <si>
    <t>Portfolio (  )</t>
  </si>
  <si>
    <t>30E / 360</t>
  </si>
  <si>
    <t>Semi Annual</t>
  </si>
  <si>
    <t>USM8220VAA28 HTM (RPCUH 6 08/31/36 REGS)</t>
  </si>
  <si>
    <t>Interest Income from P/L report</t>
  </si>
  <si>
    <t>Tax lot id</t>
  </si>
  <si>
    <t>Quantity</t>
  </si>
  <si>
    <t>Total Interest Income</t>
  </si>
  <si>
    <t>Starting AI</t>
  </si>
  <si>
    <t>Ending AI</t>
  </si>
  <si>
    <t>The two lots were sold with</t>
  </si>
  <si>
    <t>Trade Date</t>
  </si>
  <si>
    <t>Settle Date</t>
  </si>
  <si>
    <t>Tax lot quantity</t>
  </si>
  <si>
    <t>positive</t>
  </si>
  <si>
    <t>negative</t>
  </si>
  <si>
    <t>When a tax lot is sold:</t>
  </si>
  <si>
    <t>2. It keeps accruing interest until the day before the settlement day;</t>
  </si>
  <si>
    <t>1. Its quantity becomes zero since the trade day;</t>
  </si>
  <si>
    <t>3. The ending value of accrued interest is on the day before the settlement day.</t>
  </si>
  <si>
    <t>When it's a complete sale, no need to allocate interest to tax lot because it's</t>
  </si>
  <si>
    <t>already in the final accrued interest of the lot when lotquantity &gt; 0</t>
  </si>
  <si>
    <t>IndexPriceDate</t>
  </si>
  <si>
    <t>IndexPrice</t>
  </si>
  <si>
    <t>RateSpread</t>
  </si>
  <si>
    <t>XS0508012092 HTM (CHIOLI 5.5 11/10/20)</t>
  </si>
  <si>
    <t>No tax lot of this bond ever appears in daily interet accrual detail report because it never accrues interest</t>
  </si>
  <si>
    <t>Matured on 2020-01-13</t>
  </si>
  <si>
    <t>HK0000059292 HTM (GBHK 2.93 01/13/20)</t>
  </si>
  <si>
    <t>Actual / 365</t>
  </si>
  <si>
    <t>US65334HAJ14 HTM (CNOOC 7.5 07/30/39)</t>
  </si>
  <si>
    <t>(LotSumOfChangeInAIBook of the blue line)</t>
  </si>
  <si>
    <t>tax lot id</t>
  </si>
  <si>
    <t>Total</t>
  </si>
  <si>
    <t>paid interest on 2020-02-29</t>
  </si>
  <si>
    <t>1) Interest payment event detected on 2020-01-13 with LotSumOfPurSoldPaidRecLocal &gt; 0 (the blue line)</t>
  </si>
  <si>
    <t>2) Investment of the event is HK0000059292 HTM (GBHK 2.93 01/13/20);</t>
  </si>
  <si>
    <t>3) Find the all the lines with Date = 2020-01-13 and Investment = HK0000059292 HTM (GBHK 2.93 01/13/20)</t>
  </si>
  <si>
    <t>2) Investment of the event is US65334HAJ14 HTM (CNOOC 7.5 07/30/39);</t>
  </si>
  <si>
    <t>2) Investment of the event is USM8220VAA28 HTM (RPCUH 6 08/31/36 REGS);</t>
  </si>
  <si>
    <t>1) Interest payment event detected on 2020-01-30 with LotSumOfPurSoldPaidRecLocal &gt; 0 (the blue line);</t>
  </si>
  <si>
    <t>1) Interest payment events detected on 2020-02-29 with LotSumOfPurSoldPaidRecLocal &gt; 0 and with the same Investment field (3 blue lines);</t>
  </si>
  <si>
    <t>(sum of LotSumOfChangeInAIBook of all the blue lines)</t>
  </si>
  <si>
    <t>2) Investment of the event is XS2125922349 (BCHINA V3.6 PERP);</t>
  </si>
  <si>
    <t>XS2125922349 (BCHINA V3.6 PERP)</t>
  </si>
  <si>
    <t>Annual</t>
  </si>
  <si>
    <t>1) Interest payment events detected on 2020-03-30 with LotSumOfPurSoldPaidRecLocal &gt; 0;</t>
  </si>
  <si>
    <t>Zero Interest bond bought on 2020-02</t>
  </si>
  <si>
    <t>paid Interest on 2020-01-30</t>
  </si>
  <si>
    <t>Interest Received</t>
  </si>
  <si>
    <t>Total Interest payment</t>
  </si>
  <si>
    <t>Interest Payment Received</t>
  </si>
  <si>
    <t>1) Interest payment events detected on 2020-03-31 with LotSumOfPurSoldPaidRecLocal &gt; 0;</t>
  </si>
  <si>
    <t>3) Find all the all the lines with Date = 2020-03-30, Investment = XS2125922349 (BCHINA V3.6 PERP).</t>
  </si>
  <si>
    <t>Case 1: HKTB 0 04/29/20 91</t>
  </si>
  <si>
    <t>Case 2: CNOOC 7.5 07/30/39</t>
  </si>
  <si>
    <t>Note that the yellow lines are taken out in step 4 because they are neither on sale nor on coupon.</t>
  </si>
  <si>
    <t>Case 3: RPCUH 6 08/31/36 REGS</t>
  </si>
  <si>
    <t>Case 4: BCHINA V3.6 PERP</t>
  </si>
  <si>
    <t>Multiple sales occurred during a period, multiple tax lots</t>
  </si>
  <si>
    <t>1) Interest payment events detected on 2020-03-06 with LotSumOfPurSoldPaidRecLocal &gt; 0;</t>
  </si>
  <si>
    <t>total</t>
  </si>
  <si>
    <t>Table One</t>
  </si>
  <si>
    <t>Table Two</t>
  </si>
  <si>
    <t>Table Three</t>
  </si>
  <si>
    <t>Combine Table one, two, three together</t>
  </si>
  <si>
    <t>Table 1</t>
  </si>
  <si>
    <t>Table 2</t>
  </si>
  <si>
    <t>Table 3</t>
  </si>
  <si>
    <t>Case 6: GBHK 2.93 01/13/20</t>
  </si>
  <si>
    <t>Case 5: CHIOLI 5.5 11/10/20</t>
  </si>
  <si>
    <t>Sell off 2 tax lots out of 35</t>
  </si>
  <si>
    <t>1) Interest payment events detected on 2020-04-16 with LotSumOfPurSoldPaidRecLocal &gt; 0;</t>
  </si>
  <si>
    <t>2) Investment of the event is XS0508012092 HTM (CHIOLI 5.5 11/10/20);</t>
  </si>
  <si>
    <t>3) Find all lines with Date = 2020-04-16, Investment = XS0508012092 HTM (CHIOLI 5.5 11/10/20).</t>
  </si>
  <si>
    <t>3) Find all lines with Date = 2020-03-31, Investment = XS2125922349 (BCHINA V3.6 PERP).</t>
  </si>
  <si>
    <t>3) Find all lines with Date = 2020-03-06, Investment = XS2125922349 (BCHINA V3.6 PERP).</t>
  </si>
  <si>
    <t>3) Find all lines with Date = 2020-02-29, Investment = USM8220VAA28 HTM (RPCUH 6 08/31/36 REGS).</t>
  </si>
  <si>
    <t>3) Find the all lines with Date = 2020-01-30 and Investment = US65334HAJ14 HTM (CNOOC 7.5 07/30/39).</t>
  </si>
  <si>
    <t>??</t>
  </si>
  <si>
    <t>Reduction Process</t>
  </si>
  <si>
    <t>1) remove a tax lot whose LotQuantity = 0 from the above table;</t>
  </si>
  <si>
    <t>Reduction Round 1: take out tax lot 1005791</t>
  </si>
  <si>
    <t>Reduction Round 2: take out tax lot 1005793</t>
  </si>
  <si>
    <t>Here we have tax lots with LotQuantity = 0, and such tax lots does not receive interest payment at all. So we need to start the below reduction process to take them out.</t>
  </si>
  <si>
    <t>First of all, construct the below table with all tax lots (whether their quantity = 0 or not)</t>
  </si>
  <si>
    <t>2) update the total Interest payment amount as: total interest payment = total interest payment + LotSumOfChangeInAIBook of the tax lot removed.</t>
  </si>
  <si>
    <t>When the table becomes empty, the process is over, no tax lot receives any interest income.</t>
  </si>
  <si>
    <t>XXX</t>
  </si>
  <si>
    <t>YYY</t>
  </si>
  <si>
    <t>ZZZ</t>
  </si>
  <si>
    <t>x0</t>
  </si>
  <si>
    <t>y0</t>
  </si>
  <si>
    <t>z0</t>
  </si>
  <si>
    <t>V0</t>
  </si>
  <si>
    <t>V0 * x0 / S</t>
  </si>
  <si>
    <t>S = x0 + y0 + z0</t>
  </si>
  <si>
    <t>V0 * y0 / S</t>
  </si>
  <si>
    <t>V0 * z0 / S</t>
  </si>
  <si>
    <t>When the table is left with tax lots whose quantity &gt; 0, such as below. Then we apply the pro-rata method to get interest income for remaining tax lots.</t>
  </si>
  <si>
    <t>Similarly, when we apply reduction process on tax lot 1108340, it does not get any interest income from the interest payment event.</t>
  </si>
  <si>
    <t>Total Interest Received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</si>
</sst>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9">
    <xf numFmtId="0" fontId="0" fillId="0" borderId="0" xfId="0"/>
    <xf numFmtId="4" fontId="0" fillId="0" borderId="0" xfId="0" applyNumberFormat="1"/>
    <xf numFmtId="14" fontId="0" fillId="0" borderId="0" xfId="0" applyNumberFormat="1"/>
    <xf numFmtId="0" fontId="2" fillId="0" borderId="0" xfId="0" applyFont="1"/>
    <xf numFmtId="0" fontId="0" fillId="2" borderId="0" xfId="0" applyFill="1"/>
    <xf numFmtId="0" fontId="0" fillId="0" borderId="0" xfId="0" applyFill="1"/>
    <xf numFmtId="43" fontId="0" fillId="0" borderId="0" xfId="1" applyFont="1"/>
    <xf numFmtId="43" fontId="0" fillId="2" borderId="0" xfId="1" applyFont="1" applyFill="1"/>
    <xf numFmtId="43" fontId="0" fillId="0" borderId="0" xfId="0" applyNumberFormat="1"/>
    <xf numFmtId="164" fontId="0" fillId="0" borderId="0" xfId="1" applyNumberFormat="1" applyFont="1"/>
    <xf numFmtId="0" fontId="0" fillId="0" borderId="0" xfId="0" applyAlignment="1">
      <alignment horizontal="center"/>
    </xf>
    <xf numFmtId="14" fontId="0" fillId="0" borderId="0" xfId="1" applyNumberFormat="1" applyFont="1"/>
    <xf numFmtId="0" fontId="0" fillId="4" borderId="0" xfId="0" applyFill="1"/>
    <xf numFmtId="14" fontId="0" fillId="4" borderId="0" xfId="0" applyNumberFormat="1" applyFill="1"/>
    <xf numFmtId="43" fontId="0" fillId="4" borderId="0" xfId="1" applyFont="1" applyFill="1"/>
    <xf numFmtId="43" fontId="0" fillId="4" borderId="0" xfId="0" applyNumberFormat="1" applyFill="1"/>
    <xf numFmtId="14" fontId="0" fillId="4" borderId="0" xfId="1" applyNumberFormat="1" applyFont="1" applyFill="1"/>
    <xf numFmtId="43" fontId="0" fillId="0" borderId="0" xfId="0" applyNumberFormat="1" applyFill="1"/>
    <xf numFmtId="0" fontId="0" fillId="5" borderId="0" xfId="0" applyFill="1"/>
    <xf numFmtId="43" fontId="0" fillId="5" borderId="0" xfId="0" applyNumberFormat="1" applyFill="1"/>
    <xf numFmtId="43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4" fillId="0" borderId="0" xfId="0" applyFont="1"/>
    <xf numFmtId="43" fontId="3" fillId="3" borderId="0" xfId="1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43" fontId="0" fillId="0" borderId="0" xfId="0" applyNumberFormat="1" applyAlignment="1">
      <alignment horizontal="center" wrapText="1"/>
    </xf>
    <xf numFmtId="0" fontId="0" fillId="0" borderId="0" xfId="0" applyAlignment="1">
      <alignment horizontal="center" wrapText="1"/>
    </xf>
    <xf numFmtId="14" fontId="0" fillId="5" borderId="0" xfId="1" applyNumberFormat="1" applyFont="1" applyFill="1"/>
    <xf numFmtId="14" fontId="0" fillId="0" borderId="0" xfId="1" applyNumberFormat="1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5E231-314A-4BC9-B246-6DF080AB1E4D}">
  <dimension ref="A1:X297"/>
  <sheetViews>
    <sheetView tabSelected="1" topLeftCell="A221" workbookViewId="0">
      <selection activeCell="L210" sqref="L210"/>
    </sheetView>
  </sheetViews>
  <sheetFormatPr defaultRowHeight="15.75" x14ac:dyDescent="0.25"/>
  <cols>
    <col min="1" max="1" width="9.375" customWidth="1"/>
    <col min="2" max="2" width="13.75" customWidth="1"/>
    <col min="3" max="3" width="15.125" bestFit="1" customWidth="1"/>
    <col min="4" max="4" width="15.75" customWidth="1"/>
    <col min="5" max="5" width="15.875" customWidth="1"/>
    <col min="6" max="6" width="12.875" customWidth="1"/>
    <col min="7" max="7" width="11.125" bestFit="1" customWidth="1"/>
    <col min="8" max="8" width="11.875" customWidth="1"/>
    <col min="9" max="9" width="11" customWidth="1"/>
    <col min="10" max="10" width="12.625" bestFit="1" customWidth="1"/>
    <col min="13" max="13" width="13.75" customWidth="1"/>
    <col min="14" max="14" width="14.75" customWidth="1"/>
    <col min="15" max="15" width="12.625" bestFit="1" customWidth="1"/>
    <col min="16" max="16" width="11.875" bestFit="1" customWidth="1"/>
    <col min="17" max="17" width="11.125" bestFit="1" customWidth="1"/>
    <col min="18" max="18" width="11.75" bestFit="1" customWidth="1"/>
    <col min="19" max="19" width="11.125" bestFit="1" customWidth="1"/>
    <col min="20" max="20" width="12.75" bestFit="1" customWidth="1"/>
    <col min="21" max="21" width="11.75" bestFit="1" customWidth="1"/>
  </cols>
  <sheetData>
    <row r="1" spans="1:15" x14ac:dyDescent="0.25">
      <c r="A1" s="3" t="s">
        <v>74</v>
      </c>
      <c r="B1" s="3"/>
      <c r="C1" s="3"/>
      <c r="D1" s="3" t="s">
        <v>67</v>
      </c>
    </row>
    <row r="2" spans="1:15" x14ac:dyDescent="0.25">
      <c r="A2" t="s">
        <v>46</v>
      </c>
    </row>
    <row r="5" spans="1:15" x14ac:dyDescent="0.25">
      <c r="A5" s="3" t="s">
        <v>75</v>
      </c>
      <c r="B5" s="3"/>
      <c r="C5" s="3"/>
      <c r="D5" s="3" t="s">
        <v>68</v>
      </c>
    </row>
    <row r="6" spans="1:15" x14ac:dyDescent="0.25">
      <c r="A6" t="s">
        <v>25</v>
      </c>
      <c r="B6" t="s">
        <v>28</v>
      </c>
      <c r="C6" t="s">
        <v>29</v>
      </c>
      <c r="D6" t="s">
        <v>69</v>
      </c>
      <c r="E6" t="s">
        <v>0</v>
      </c>
      <c r="H6" s="2"/>
    </row>
    <row r="7" spans="1:15" x14ac:dyDescent="0.25">
      <c r="A7">
        <v>1104216</v>
      </c>
      <c r="B7" s="6">
        <v>1224594.27</v>
      </c>
      <c r="C7" s="6">
        <v>8091.98</v>
      </c>
      <c r="D7" s="6">
        <f>C31</f>
        <v>1456237.5</v>
      </c>
      <c r="E7" s="6">
        <f>C7-B7+D7</f>
        <v>239735.20999999996</v>
      </c>
      <c r="I7" s="9"/>
      <c r="J7" s="6"/>
    </row>
    <row r="8" spans="1:15" x14ac:dyDescent="0.25">
      <c r="A8">
        <v>1104217</v>
      </c>
      <c r="B8" s="6">
        <v>1224594.27</v>
      </c>
      <c r="C8" s="6">
        <v>8091.98</v>
      </c>
      <c r="D8" s="6">
        <f t="shared" ref="D8:D12" si="0">C32</f>
        <v>1456237.5</v>
      </c>
      <c r="E8" s="6">
        <f t="shared" ref="E8:E12" si="1">C8-B8+D8</f>
        <v>239735.20999999996</v>
      </c>
      <c r="F8" s="6"/>
      <c r="I8" s="9"/>
      <c r="J8" s="8"/>
      <c r="M8" s="6"/>
      <c r="N8" s="6"/>
      <c r="O8" s="6"/>
    </row>
    <row r="9" spans="1:15" x14ac:dyDescent="0.25">
      <c r="A9">
        <v>1104496</v>
      </c>
      <c r="B9" s="6">
        <v>1224594.27</v>
      </c>
      <c r="C9" s="6">
        <v>8091.98</v>
      </c>
      <c r="D9" s="6">
        <f t="shared" si="0"/>
        <v>1456237.5</v>
      </c>
      <c r="E9" s="6">
        <f t="shared" si="1"/>
        <v>239735.20999999996</v>
      </c>
      <c r="F9" s="6"/>
      <c r="I9" s="9"/>
      <c r="J9" s="8"/>
      <c r="M9" s="6"/>
      <c r="N9" s="6"/>
      <c r="O9" s="6"/>
    </row>
    <row r="10" spans="1:15" x14ac:dyDescent="0.25">
      <c r="A10">
        <v>1104497</v>
      </c>
      <c r="B10" s="6">
        <v>244918.85</v>
      </c>
      <c r="C10" s="6">
        <v>1618.4</v>
      </c>
      <c r="D10" s="6">
        <f t="shared" si="0"/>
        <v>291247.5</v>
      </c>
      <c r="E10" s="6">
        <f t="shared" si="1"/>
        <v>47947.049999999988</v>
      </c>
      <c r="F10" s="6"/>
      <c r="I10" s="9"/>
      <c r="J10" s="8"/>
    </row>
    <row r="11" spans="1:15" x14ac:dyDescent="0.25">
      <c r="A11">
        <v>1109831</v>
      </c>
      <c r="B11" s="6">
        <v>1319535.96</v>
      </c>
      <c r="C11" s="6">
        <v>8091.98</v>
      </c>
      <c r="D11" s="6">
        <f t="shared" si="0"/>
        <v>1456237.5</v>
      </c>
      <c r="E11" s="6">
        <f t="shared" si="1"/>
        <v>144793.52000000002</v>
      </c>
      <c r="F11" s="6"/>
      <c r="I11" s="9"/>
      <c r="J11" s="8"/>
    </row>
    <row r="12" spans="1:15" x14ac:dyDescent="0.25">
      <c r="A12">
        <v>1110346</v>
      </c>
      <c r="B12" s="6">
        <v>2688024.14</v>
      </c>
      <c r="C12" s="6">
        <v>16183.96</v>
      </c>
      <c r="D12" s="6">
        <f t="shared" si="0"/>
        <v>2912475</v>
      </c>
      <c r="E12" s="6">
        <f t="shared" si="1"/>
        <v>240634.81999999983</v>
      </c>
      <c r="I12" s="9"/>
      <c r="J12" s="8"/>
    </row>
    <row r="13" spans="1:15" x14ac:dyDescent="0.25">
      <c r="A13" s="2"/>
      <c r="D13" t="s">
        <v>27</v>
      </c>
      <c r="E13" s="8">
        <f>SUM(E7:E12)</f>
        <v>1152581.0199999998</v>
      </c>
      <c r="I13" s="9"/>
      <c r="J13" s="8"/>
    </row>
    <row r="14" spans="1:15" x14ac:dyDescent="0.25">
      <c r="A14" s="2"/>
      <c r="C14" t="s">
        <v>24</v>
      </c>
      <c r="E14" s="6">
        <v>1152581.02</v>
      </c>
    </row>
    <row r="16" spans="1:15" x14ac:dyDescent="0.25">
      <c r="A16" t="s">
        <v>60</v>
      </c>
    </row>
    <row r="17" spans="1:24" x14ac:dyDescent="0.25">
      <c r="A17" t="s">
        <v>58</v>
      </c>
    </row>
    <row r="18" spans="1:24" x14ac:dyDescent="0.25">
      <c r="A18" t="s">
        <v>98</v>
      </c>
    </row>
    <row r="20" spans="1:24" x14ac:dyDescent="0.25">
      <c r="A20" t="s">
        <v>1</v>
      </c>
      <c r="B20" t="s">
        <v>2</v>
      </c>
      <c r="C20" t="s">
        <v>3</v>
      </c>
      <c r="D20" t="s">
        <v>4</v>
      </c>
      <c r="E20" t="s">
        <v>5</v>
      </c>
      <c r="F20" t="s">
        <v>6</v>
      </c>
      <c r="G20" t="s">
        <v>7</v>
      </c>
      <c r="H20" t="s">
        <v>8</v>
      </c>
      <c r="I20" t="s">
        <v>9</v>
      </c>
      <c r="J20" t="s">
        <v>10</v>
      </c>
      <c r="K20" t="s">
        <v>11</v>
      </c>
      <c r="L20" t="s">
        <v>12</v>
      </c>
      <c r="M20" t="s">
        <v>42</v>
      </c>
      <c r="N20" t="s">
        <v>43</v>
      </c>
      <c r="O20" t="s">
        <v>44</v>
      </c>
      <c r="P20" t="s">
        <v>13</v>
      </c>
      <c r="Q20" t="s">
        <v>14</v>
      </c>
      <c r="R20" t="s">
        <v>15</v>
      </c>
      <c r="S20" t="s">
        <v>16</v>
      </c>
      <c r="T20" t="s">
        <v>17</v>
      </c>
      <c r="U20" t="s">
        <v>18</v>
      </c>
      <c r="V20" t="s">
        <v>19</v>
      </c>
    </row>
    <row r="21" spans="1:24" x14ac:dyDescent="0.25">
      <c r="A21" s="12" t="s">
        <v>20</v>
      </c>
      <c r="B21" s="12" t="s">
        <v>50</v>
      </c>
      <c r="C21" s="12" t="s">
        <v>21</v>
      </c>
      <c r="D21" s="12" t="s">
        <v>22</v>
      </c>
      <c r="E21" s="13">
        <v>43860</v>
      </c>
      <c r="F21" s="12">
        <v>31000000</v>
      </c>
      <c r="G21" s="12"/>
      <c r="H21" s="12">
        <v>1104211</v>
      </c>
      <c r="I21" s="12">
        <v>0</v>
      </c>
      <c r="J21" s="12"/>
      <c r="K21" s="12">
        <v>0</v>
      </c>
      <c r="L21" s="12"/>
      <c r="M21" s="12"/>
      <c r="N21" s="12"/>
      <c r="O21" s="12"/>
      <c r="P21" s="12">
        <v>1162500</v>
      </c>
      <c r="Q21" s="12">
        <v>0</v>
      </c>
      <c r="R21" s="12">
        <v>0</v>
      </c>
      <c r="S21" s="12">
        <v>1162500</v>
      </c>
      <c r="T21" s="12">
        <v>0</v>
      </c>
      <c r="U21" s="12">
        <v>9028672.5</v>
      </c>
      <c r="V21" s="12">
        <v>0</v>
      </c>
      <c r="W21" s="12"/>
      <c r="X21" s="12"/>
    </row>
    <row r="22" spans="1:24" x14ac:dyDescent="0.25">
      <c r="A22" t="s">
        <v>20</v>
      </c>
      <c r="B22" t="s">
        <v>50</v>
      </c>
      <c r="C22" t="s">
        <v>21</v>
      </c>
      <c r="D22" t="s">
        <v>22</v>
      </c>
      <c r="E22" s="2">
        <v>43860</v>
      </c>
      <c r="F22">
        <v>31000000</v>
      </c>
      <c r="H22">
        <v>1104216</v>
      </c>
      <c r="I22">
        <v>5000000</v>
      </c>
      <c r="K22">
        <v>5000000</v>
      </c>
      <c r="P22">
        <v>-187500</v>
      </c>
      <c r="Q22">
        <v>187500</v>
      </c>
      <c r="R22">
        <v>-187500</v>
      </c>
      <c r="S22">
        <v>0</v>
      </c>
      <c r="T22">
        <v>0</v>
      </c>
      <c r="U22">
        <v>-1457400</v>
      </c>
      <c r="V22">
        <v>0</v>
      </c>
    </row>
    <row r="23" spans="1:24" x14ac:dyDescent="0.25">
      <c r="A23" t="s">
        <v>20</v>
      </c>
      <c r="B23" t="s">
        <v>50</v>
      </c>
      <c r="C23" t="s">
        <v>21</v>
      </c>
      <c r="D23" t="s">
        <v>22</v>
      </c>
      <c r="E23" s="2">
        <v>43860</v>
      </c>
      <c r="F23">
        <v>31000000</v>
      </c>
      <c r="H23">
        <v>1104217</v>
      </c>
      <c r="I23">
        <v>5000000</v>
      </c>
      <c r="K23">
        <v>5000000</v>
      </c>
      <c r="P23">
        <v>-187500</v>
      </c>
      <c r="Q23">
        <v>187500</v>
      </c>
      <c r="R23">
        <v>-187500</v>
      </c>
      <c r="S23">
        <v>0</v>
      </c>
      <c r="T23">
        <v>0</v>
      </c>
      <c r="U23">
        <v>-1457400</v>
      </c>
      <c r="V23">
        <v>0</v>
      </c>
    </row>
    <row r="24" spans="1:24" x14ac:dyDescent="0.25">
      <c r="A24" t="s">
        <v>20</v>
      </c>
      <c r="B24" t="s">
        <v>50</v>
      </c>
      <c r="C24" t="s">
        <v>21</v>
      </c>
      <c r="D24" t="s">
        <v>22</v>
      </c>
      <c r="E24" s="2">
        <v>43860</v>
      </c>
      <c r="F24">
        <v>31000000</v>
      </c>
      <c r="H24">
        <v>1104496</v>
      </c>
      <c r="I24">
        <v>5000000</v>
      </c>
      <c r="K24">
        <v>5000000</v>
      </c>
      <c r="P24">
        <v>-187500</v>
      </c>
      <c r="Q24">
        <v>187500</v>
      </c>
      <c r="R24">
        <v>-187500</v>
      </c>
      <c r="S24">
        <v>0</v>
      </c>
      <c r="T24">
        <v>0</v>
      </c>
      <c r="U24">
        <v>-1457400</v>
      </c>
      <c r="V24">
        <v>0</v>
      </c>
    </row>
    <row r="25" spans="1:24" x14ac:dyDescent="0.25">
      <c r="A25" t="s">
        <v>20</v>
      </c>
      <c r="B25" t="s">
        <v>50</v>
      </c>
      <c r="C25" t="s">
        <v>21</v>
      </c>
      <c r="D25" t="s">
        <v>22</v>
      </c>
      <c r="E25" s="2">
        <v>43860</v>
      </c>
      <c r="F25">
        <v>31000000</v>
      </c>
      <c r="H25">
        <v>1104497</v>
      </c>
      <c r="I25">
        <v>1000000</v>
      </c>
      <c r="K25">
        <v>1000000</v>
      </c>
      <c r="P25">
        <v>-37500</v>
      </c>
      <c r="Q25">
        <v>37500</v>
      </c>
      <c r="R25">
        <v>-37500</v>
      </c>
      <c r="S25">
        <v>0</v>
      </c>
      <c r="T25">
        <v>0</v>
      </c>
      <c r="U25">
        <v>-291480</v>
      </c>
      <c r="V25">
        <v>0</v>
      </c>
    </row>
    <row r="26" spans="1:24" x14ac:dyDescent="0.25">
      <c r="A26" t="s">
        <v>20</v>
      </c>
      <c r="B26" t="s">
        <v>50</v>
      </c>
      <c r="C26" t="s">
        <v>21</v>
      </c>
      <c r="D26" t="s">
        <v>22</v>
      </c>
      <c r="E26" s="2">
        <v>43860</v>
      </c>
      <c r="F26">
        <v>31000000</v>
      </c>
      <c r="H26">
        <v>1109831</v>
      </c>
      <c r="I26">
        <v>5000000</v>
      </c>
      <c r="K26">
        <v>5000000</v>
      </c>
      <c r="P26">
        <v>-187500</v>
      </c>
      <c r="Q26">
        <v>187500</v>
      </c>
      <c r="R26">
        <v>-187500</v>
      </c>
      <c r="S26">
        <v>0</v>
      </c>
      <c r="T26">
        <v>0</v>
      </c>
      <c r="U26">
        <v>-1457400</v>
      </c>
      <c r="V26">
        <v>0</v>
      </c>
    </row>
    <row r="27" spans="1:24" x14ac:dyDescent="0.25">
      <c r="A27" t="s">
        <v>20</v>
      </c>
      <c r="B27" t="s">
        <v>50</v>
      </c>
      <c r="C27" t="s">
        <v>21</v>
      </c>
      <c r="D27" t="s">
        <v>22</v>
      </c>
      <c r="E27" s="2">
        <v>43860</v>
      </c>
      <c r="F27">
        <v>31000000</v>
      </c>
      <c r="H27">
        <v>1110346</v>
      </c>
      <c r="I27">
        <v>10000000</v>
      </c>
      <c r="K27">
        <v>10000000</v>
      </c>
      <c r="P27">
        <v>-375000</v>
      </c>
      <c r="Q27">
        <v>375000</v>
      </c>
      <c r="R27">
        <v>-375000</v>
      </c>
      <c r="S27">
        <v>0</v>
      </c>
      <c r="T27">
        <v>0</v>
      </c>
      <c r="U27">
        <v>-2914800</v>
      </c>
      <c r="V27">
        <v>0</v>
      </c>
    </row>
    <row r="28" spans="1:24" x14ac:dyDescent="0.25">
      <c r="E28" s="8"/>
    </row>
    <row r="29" spans="1:24" x14ac:dyDescent="0.25">
      <c r="A29" t="s">
        <v>70</v>
      </c>
      <c r="C29" s="6">
        <f>U21</f>
        <v>9028672.5</v>
      </c>
      <c r="D29" t="s">
        <v>51</v>
      </c>
    </row>
    <row r="30" spans="1:24" x14ac:dyDescent="0.25">
      <c r="A30" t="s">
        <v>52</v>
      </c>
      <c r="B30" t="s">
        <v>26</v>
      </c>
      <c r="C30" t="s">
        <v>71</v>
      </c>
    </row>
    <row r="31" spans="1:24" x14ac:dyDescent="0.25">
      <c r="A31">
        <f>H22</f>
        <v>1104216</v>
      </c>
      <c r="B31">
        <f>K22</f>
        <v>5000000</v>
      </c>
      <c r="C31" s="8">
        <f>$C$29*B31/$B$37</f>
        <v>1456237.5</v>
      </c>
    </row>
    <row r="32" spans="1:24" x14ac:dyDescent="0.25">
      <c r="A32">
        <f t="shared" ref="A32:A36" si="2">H23</f>
        <v>1104217</v>
      </c>
      <c r="B32">
        <f t="shared" ref="B32:B36" si="3">K23</f>
        <v>5000000</v>
      </c>
      <c r="C32" s="8">
        <f t="shared" ref="C32:C36" si="4">$C$29*B32/$B$37</f>
        <v>1456237.5</v>
      </c>
    </row>
    <row r="33" spans="1:5" x14ac:dyDescent="0.25">
      <c r="A33">
        <f t="shared" si="2"/>
        <v>1104496</v>
      </c>
      <c r="B33">
        <f t="shared" si="3"/>
        <v>5000000</v>
      </c>
      <c r="C33" s="8">
        <f t="shared" si="4"/>
        <v>1456237.5</v>
      </c>
    </row>
    <row r="34" spans="1:5" x14ac:dyDescent="0.25">
      <c r="A34">
        <f t="shared" si="2"/>
        <v>1104497</v>
      </c>
      <c r="B34">
        <f t="shared" si="3"/>
        <v>1000000</v>
      </c>
      <c r="C34" s="8">
        <f t="shared" si="4"/>
        <v>291247.5</v>
      </c>
    </row>
    <row r="35" spans="1:5" x14ac:dyDescent="0.25">
      <c r="A35">
        <f t="shared" si="2"/>
        <v>1109831</v>
      </c>
      <c r="B35">
        <f t="shared" si="3"/>
        <v>5000000</v>
      </c>
      <c r="C35" s="8">
        <f t="shared" si="4"/>
        <v>1456237.5</v>
      </c>
    </row>
    <row r="36" spans="1:5" x14ac:dyDescent="0.25">
      <c r="A36">
        <f t="shared" si="2"/>
        <v>1110346</v>
      </c>
      <c r="B36">
        <f t="shared" si="3"/>
        <v>10000000</v>
      </c>
      <c r="C36" s="8">
        <f t="shared" si="4"/>
        <v>2912475</v>
      </c>
    </row>
    <row r="37" spans="1:5" x14ac:dyDescent="0.25">
      <c r="A37" t="s">
        <v>53</v>
      </c>
      <c r="B37">
        <f>SUM(B31:B36)</f>
        <v>31000000</v>
      </c>
    </row>
    <row r="40" spans="1:5" x14ac:dyDescent="0.25">
      <c r="A40" s="3" t="s">
        <v>77</v>
      </c>
      <c r="D40" s="3" t="s">
        <v>54</v>
      </c>
    </row>
    <row r="41" spans="1:5" x14ac:dyDescent="0.25">
      <c r="A41" t="s">
        <v>25</v>
      </c>
      <c r="B41" t="s">
        <v>28</v>
      </c>
      <c r="C41" t="s">
        <v>29</v>
      </c>
      <c r="D41" t="s">
        <v>69</v>
      </c>
      <c r="E41" t="s">
        <v>0</v>
      </c>
    </row>
    <row r="42" spans="1:5" x14ac:dyDescent="0.25">
      <c r="A42">
        <v>1006824</v>
      </c>
      <c r="B42" s="6">
        <v>58650.66</v>
      </c>
      <c r="C42" s="6">
        <v>779.79</v>
      </c>
      <c r="D42" s="6">
        <f>C72</f>
        <v>69401.310305555555</v>
      </c>
      <c r="E42" s="6">
        <f>C42-B42+D42</f>
        <v>11530.440305555552</v>
      </c>
    </row>
    <row r="43" spans="1:5" x14ac:dyDescent="0.25">
      <c r="A43">
        <v>1006825</v>
      </c>
      <c r="B43" s="6">
        <v>97751.11</v>
      </c>
      <c r="C43" s="6">
        <v>1299.6500000000001</v>
      </c>
      <c r="D43" s="6">
        <f t="shared" ref="D43:D49" si="5">C73</f>
        <v>115668.85050925925</v>
      </c>
      <c r="E43" s="6">
        <f t="shared" ref="E43:E49" si="6">C43-B43+D43</f>
        <v>19217.390509259247</v>
      </c>
    </row>
    <row r="44" spans="1:5" x14ac:dyDescent="0.25">
      <c r="A44">
        <v>1006826</v>
      </c>
      <c r="B44" s="6">
        <v>97751.11</v>
      </c>
      <c r="C44" s="6">
        <v>1299.6500000000001</v>
      </c>
      <c r="D44" s="6">
        <f t="shared" si="5"/>
        <v>115668.85050925925</v>
      </c>
      <c r="E44" s="6">
        <f t="shared" si="6"/>
        <v>19217.390509259247</v>
      </c>
    </row>
    <row r="45" spans="1:5" x14ac:dyDescent="0.25">
      <c r="A45">
        <v>1008174</v>
      </c>
      <c r="B45" s="6">
        <v>879759.97</v>
      </c>
      <c r="C45" s="6">
        <v>11696.85</v>
      </c>
      <c r="D45" s="6">
        <f t="shared" si="5"/>
        <v>1041019.6545833333</v>
      </c>
      <c r="E45" s="6">
        <f t="shared" si="6"/>
        <v>172956.5345833333</v>
      </c>
    </row>
    <row r="46" spans="1:5" x14ac:dyDescent="0.25">
      <c r="A46">
        <v>1008175</v>
      </c>
      <c r="B46" s="6">
        <v>332353.76999999996</v>
      </c>
      <c r="C46" s="6">
        <v>4418.8100000000004</v>
      </c>
      <c r="D46" s="6">
        <f t="shared" si="5"/>
        <v>393274.09173148143</v>
      </c>
      <c r="E46" s="6">
        <f t="shared" si="6"/>
        <v>65339.131731481466</v>
      </c>
    </row>
    <row r="47" spans="1:5" x14ac:dyDescent="0.25">
      <c r="A47">
        <v>1008176</v>
      </c>
      <c r="B47" s="6">
        <v>195502.22</v>
      </c>
      <c r="C47" s="6">
        <v>2599.3000000000002</v>
      </c>
      <c r="D47" s="6">
        <f t="shared" si="5"/>
        <v>231337.70101851851</v>
      </c>
      <c r="E47" s="6">
        <f t="shared" si="6"/>
        <v>38434.781018518494</v>
      </c>
    </row>
    <row r="48" spans="1:5" x14ac:dyDescent="0.25">
      <c r="A48">
        <v>1008177</v>
      </c>
      <c r="B48" s="6">
        <v>879759.97</v>
      </c>
      <c r="C48" s="6">
        <v>11696.85</v>
      </c>
      <c r="D48" s="6">
        <f t="shared" si="5"/>
        <v>1041019.6545833333</v>
      </c>
      <c r="E48" s="6">
        <f t="shared" si="6"/>
        <v>172956.5345833333</v>
      </c>
    </row>
    <row r="49" spans="1:22" x14ac:dyDescent="0.25">
      <c r="A49">
        <v>1021956</v>
      </c>
      <c r="B49" s="6">
        <v>18572710.580000002</v>
      </c>
      <c r="C49" s="6">
        <v>246933.5</v>
      </c>
      <c r="D49" s="6">
        <f t="shared" si="5"/>
        <v>21977081.59675926</v>
      </c>
      <c r="E49" s="6">
        <f t="shared" si="6"/>
        <v>3651304.5167592578</v>
      </c>
    </row>
    <row r="50" spans="1:22" x14ac:dyDescent="0.25">
      <c r="B50" s="6"/>
      <c r="D50" t="s">
        <v>27</v>
      </c>
      <c r="E50" s="8">
        <f>SUM(E42:E49)</f>
        <v>4150956.7199999983</v>
      </c>
    </row>
    <row r="51" spans="1:22" x14ac:dyDescent="0.25">
      <c r="C51" t="s">
        <v>24</v>
      </c>
      <c r="E51" s="6">
        <v>4150956.72</v>
      </c>
    </row>
    <row r="53" spans="1:22" x14ac:dyDescent="0.25">
      <c r="A53" t="s">
        <v>61</v>
      </c>
    </row>
    <row r="54" spans="1:22" x14ac:dyDescent="0.25">
      <c r="A54" t="s">
        <v>59</v>
      </c>
    </row>
    <row r="55" spans="1:22" x14ac:dyDescent="0.25">
      <c r="A55" t="s">
        <v>97</v>
      </c>
    </row>
    <row r="57" spans="1:22" x14ac:dyDescent="0.25">
      <c r="A57" t="s">
        <v>1</v>
      </c>
      <c r="B57" t="s">
        <v>2</v>
      </c>
      <c r="C57" t="s">
        <v>3</v>
      </c>
      <c r="D57" t="s">
        <v>4</v>
      </c>
      <c r="E57" t="s">
        <v>5</v>
      </c>
      <c r="F57" t="s">
        <v>6</v>
      </c>
      <c r="G57" t="s">
        <v>7</v>
      </c>
      <c r="H57" t="s">
        <v>8</v>
      </c>
      <c r="I57" t="s">
        <v>9</v>
      </c>
      <c r="J57" t="s">
        <v>10</v>
      </c>
      <c r="K57" t="s">
        <v>11</v>
      </c>
      <c r="L57" t="s">
        <v>12</v>
      </c>
      <c r="M57" t="s">
        <v>42</v>
      </c>
      <c r="N57" t="s">
        <v>43</v>
      </c>
      <c r="O57" t="s">
        <v>44</v>
      </c>
      <c r="P57" t="s">
        <v>13</v>
      </c>
      <c r="Q57" t="s">
        <v>14</v>
      </c>
      <c r="R57" t="s">
        <v>15</v>
      </c>
      <c r="S57" t="s">
        <v>16</v>
      </c>
      <c r="T57" t="s">
        <v>17</v>
      </c>
      <c r="U57" t="s">
        <v>18</v>
      </c>
      <c r="V57" t="s">
        <v>19</v>
      </c>
    </row>
    <row r="58" spans="1:22" x14ac:dyDescent="0.25">
      <c r="A58" t="s">
        <v>20</v>
      </c>
      <c r="B58" t="s">
        <v>23</v>
      </c>
      <c r="C58" t="s">
        <v>21</v>
      </c>
      <c r="D58" t="s">
        <v>22</v>
      </c>
      <c r="E58" s="2">
        <v>43890</v>
      </c>
      <c r="F58">
        <v>108000000</v>
      </c>
      <c r="H58">
        <v>1006824</v>
      </c>
      <c r="I58">
        <v>300000</v>
      </c>
      <c r="K58">
        <v>300000</v>
      </c>
      <c r="P58">
        <v>-8850</v>
      </c>
      <c r="Q58">
        <v>8950</v>
      </c>
      <c r="R58">
        <v>-8850</v>
      </c>
      <c r="S58">
        <v>0</v>
      </c>
      <c r="T58">
        <v>100</v>
      </c>
      <c r="U58">
        <v>-68972.039999999994</v>
      </c>
      <c r="V58">
        <v>779.79</v>
      </c>
    </row>
    <row r="59" spans="1:22" x14ac:dyDescent="0.25">
      <c r="A59" t="s">
        <v>20</v>
      </c>
      <c r="B59" t="s">
        <v>23</v>
      </c>
      <c r="C59" t="s">
        <v>21</v>
      </c>
      <c r="D59" t="s">
        <v>22</v>
      </c>
      <c r="E59" s="2">
        <v>43890</v>
      </c>
      <c r="F59">
        <v>108000000</v>
      </c>
      <c r="H59">
        <v>1006825</v>
      </c>
      <c r="I59">
        <v>500000</v>
      </c>
      <c r="K59">
        <v>500000</v>
      </c>
      <c r="P59">
        <v>-14750</v>
      </c>
      <c r="Q59">
        <v>14916.67</v>
      </c>
      <c r="R59">
        <v>-14750</v>
      </c>
      <c r="S59">
        <v>0</v>
      </c>
      <c r="T59">
        <v>166.67</v>
      </c>
      <c r="U59">
        <v>-114953.39</v>
      </c>
      <c r="V59">
        <v>1299.6500000000001</v>
      </c>
    </row>
    <row r="60" spans="1:22" x14ac:dyDescent="0.25">
      <c r="A60" t="s">
        <v>20</v>
      </c>
      <c r="B60" t="s">
        <v>23</v>
      </c>
      <c r="C60" t="s">
        <v>21</v>
      </c>
      <c r="D60" t="s">
        <v>22</v>
      </c>
      <c r="E60" s="2">
        <v>43890</v>
      </c>
      <c r="F60">
        <v>108000000</v>
      </c>
      <c r="H60">
        <v>1006826</v>
      </c>
      <c r="I60">
        <v>500000</v>
      </c>
      <c r="K60">
        <v>500000</v>
      </c>
      <c r="P60">
        <v>-14750</v>
      </c>
      <c r="Q60">
        <v>14916.67</v>
      </c>
      <c r="R60">
        <v>-14750</v>
      </c>
      <c r="S60">
        <v>0</v>
      </c>
      <c r="T60">
        <v>166.67</v>
      </c>
      <c r="U60">
        <v>-114953.39</v>
      </c>
      <c r="V60">
        <v>1299.6500000000001</v>
      </c>
    </row>
    <row r="61" spans="1:22" x14ac:dyDescent="0.25">
      <c r="A61" t="s">
        <v>20</v>
      </c>
      <c r="B61" t="s">
        <v>23</v>
      </c>
      <c r="C61" t="s">
        <v>21</v>
      </c>
      <c r="D61" t="s">
        <v>22</v>
      </c>
      <c r="E61" s="2">
        <v>43890</v>
      </c>
      <c r="F61">
        <v>108000000</v>
      </c>
      <c r="H61">
        <v>1008174</v>
      </c>
      <c r="I61">
        <v>4500000</v>
      </c>
      <c r="K61">
        <v>4500000</v>
      </c>
      <c r="P61">
        <v>-132750</v>
      </c>
      <c r="Q61">
        <v>134250</v>
      </c>
      <c r="R61">
        <v>-132750</v>
      </c>
      <c r="S61">
        <v>0</v>
      </c>
      <c r="T61">
        <v>1500</v>
      </c>
      <c r="U61">
        <v>-1034580.53</v>
      </c>
      <c r="V61">
        <v>11696.85</v>
      </c>
    </row>
    <row r="62" spans="1:22" x14ac:dyDescent="0.25">
      <c r="A62" t="s">
        <v>20</v>
      </c>
      <c r="B62" t="s">
        <v>23</v>
      </c>
      <c r="C62" t="s">
        <v>21</v>
      </c>
      <c r="D62" t="s">
        <v>22</v>
      </c>
      <c r="E62" s="2">
        <v>43890</v>
      </c>
      <c r="F62">
        <v>108000000</v>
      </c>
      <c r="H62">
        <v>1008175</v>
      </c>
      <c r="I62">
        <v>1700000</v>
      </c>
      <c r="K62">
        <v>1700000</v>
      </c>
      <c r="P62">
        <v>-50150</v>
      </c>
      <c r="Q62">
        <v>50716.67</v>
      </c>
      <c r="R62">
        <v>-50150</v>
      </c>
      <c r="S62">
        <v>0</v>
      </c>
      <c r="T62">
        <v>566.66999999999996</v>
      </c>
      <c r="U62">
        <v>-390841.53</v>
      </c>
      <c r="V62">
        <v>4418.8100000000004</v>
      </c>
    </row>
    <row r="63" spans="1:22" x14ac:dyDescent="0.25">
      <c r="A63" t="s">
        <v>20</v>
      </c>
      <c r="B63" t="s">
        <v>23</v>
      </c>
      <c r="C63" t="s">
        <v>21</v>
      </c>
      <c r="D63" t="s">
        <v>22</v>
      </c>
      <c r="E63" s="2">
        <v>43890</v>
      </c>
      <c r="F63">
        <v>108000000</v>
      </c>
      <c r="H63">
        <v>1008176</v>
      </c>
      <c r="I63">
        <v>1000000</v>
      </c>
      <c r="K63">
        <v>1000000</v>
      </c>
      <c r="P63">
        <v>-29500</v>
      </c>
      <c r="Q63">
        <v>29833.33</v>
      </c>
      <c r="R63">
        <v>-29500</v>
      </c>
      <c r="S63">
        <v>0</v>
      </c>
      <c r="T63">
        <v>333.33</v>
      </c>
      <c r="U63">
        <v>-229906.78</v>
      </c>
      <c r="V63">
        <v>2599.3000000000002</v>
      </c>
    </row>
    <row r="64" spans="1:22" x14ac:dyDescent="0.25">
      <c r="A64" t="s">
        <v>20</v>
      </c>
      <c r="B64" t="s">
        <v>23</v>
      </c>
      <c r="C64" t="s">
        <v>21</v>
      </c>
      <c r="D64" t="s">
        <v>22</v>
      </c>
      <c r="E64" s="2">
        <v>43890</v>
      </c>
      <c r="F64">
        <v>108000000</v>
      </c>
      <c r="H64">
        <v>1008177</v>
      </c>
      <c r="I64">
        <v>4500000</v>
      </c>
      <c r="K64">
        <v>4500000</v>
      </c>
      <c r="P64">
        <v>-132750</v>
      </c>
      <c r="Q64">
        <v>134250</v>
      </c>
      <c r="R64">
        <v>-132750</v>
      </c>
      <c r="S64">
        <v>0</v>
      </c>
      <c r="T64">
        <v>1500</v>
      </c>
      <c r="U64">
        <v>-1034580.53</v>
      </c>
      <c r="V64">
        <v>11696.85</v>
      </c>
    </row>
    <row r="65" spans="1:22" x14ac:dyDescent="0.25">
      <c r="A65" t="s">
        <v>20</v>
      </c>
      <c r="B65" t="s">
        <v>23</v>
      </c>
      <c r="C65" t="s">
        <v>21</v>
      </c>
      <c r="D65" t="s">
        <v>22</v>
      </c>
      <c r="E65" s="2">
        <v>43890</v>
      </c>
      <c r="F65">
        <v>108000000</v>
      </c>
      <c r="H65">
        <v>1021956</v>
      </c>
      <c r="I65">
        <v>95000000</v>
      </c>
      <c r="K65">
        <v>95000000</v>
      </c>
      <c r="P65">
        <v>-2802500</v>
      </c>
      <c r="Q65">
        <v>2834166.67</v>
      </c>
      <c r="R65">
        <v>-2802500</v>
      </c>
      <c r="S65">
        <v>0</v>
      </c>
      <c r="T65">
        <v>31666.67</v>
      </c>
      <c r="U65">
        <v>-21841144.420000002</v>
      </c>
      <c r="V65">
        <v>246933.5</v>
      </c>
    </row>
    <row r="66" spans="1:22" x14ac:dyDescent="0.25">
      <c r="A66" s="12" t="s">
        <v>20</v>
      </c>
      <c r="B66" s="12" t="s">
        <v>23</v>
      </c>
      <c r="C66" s="12" t="s">
        <v>21</v>
      </c>
      <c r="D66" s="12" t="s">
        <v>22</v>
      </c>
      <c r="E66" s="13">
        <v>43890</v>
      </c>
      <c r="F66" s="12">
        <v>108000000</v>
      </c>
      <c r="G66" s="12"/>
      <c r="H66" s="12">
        <v>1116104</v>
      </c>
      <c r="I66" s="12">
        <v>0</v>
      </c>
      <c r="J66" s="12"/>
      <c r="K66" s="12">
        <v>0</v>
      </c>
      <c r="L66" s="12"/>
      <c r="M66" s="12"/>
      <c r="N66" s="12"/>
      <c r="O66" s="12"/>
      <c r="P66" s="12">
        <v>38566.660000000003</v>
      </c>
      <c r="Q66" s="12">
        <v>0</v>
      </c>
      <c r="R66" s="12">
        <v>0</v>
      </c>
      <c r="S66" s="12">
        <v>38566.660000000003</v>
      </c>
      <c r="T66" s="12">
        <v>0</v>
      </c>
      <c r="U66" s="12">
        <v>300738.96000000002</v>
      </c>
      <c r="V66" s="12">
        <v>0</v>
      </c>
    </row>
    <row r="67" spans="1:22" x14ac:dyDescent="0.25">
      <c r="A67" s="12" t="s">
        <v>20</v>
      </c>
      <c r="B67" s="12" t="s">
        <v>23</v>
      </c>
      <c r="C67" s="12" t="s">
        <v>21</v>
      </c>
      <c r="D67" s="12" t="s">
        <v>22</v>
      </c>
      <c r="E67" s="13">
        <v>43890</v>
      </c>
      <c r="F67" s="12">
        <v>108000000</v>
      </c>
      <c r="G67" s="12"/>
      <c r="H67" s="12">
        <v>1116105</v>
      </c>
      <c r="I67" s="12">
        <v>0</v>
      </c>
      <c r="J67" s="12"/>
      <c r="K67" s="12">
        <v>0</v>
      </c>
      <c r="L67" s="12"/>
      <c r="M67" s="12"/>
      <c r="N67" s="12"/>
      <c r="O67" s="12"/>
      <c r="P67" s="12">
        <v>347100</v>
      </c>
      <c r="Q67" s="12">
        <v>0</v>
      </c>
      <c r="R67" s="12">
        <v>0</v>
      </c>
      <c r="S67" s="12">
        <v>347100</v>
      </c>
      <c r="T67" s="12">
        <v>0</v>
      </c>
      <c r="U67" s="12">
        <v>2706651.08</v>
      </c>
      <c r="V67" s="12">
        <v>0</v>
      </c>
    </row>
    <row r="68" spans="1:22" x14ac:dyDescent="0.25">
      <c r="A68" s="12" t="s">
        <v>20</v>
      </c>
      <c r="B68" s="12" t="s">
        <v>23</v>
      </c>
      <c r="C68" s="12" t="s">
        <v>21</v>
      </c>
      <c r="D68" s="12" t="s">
        <v>22</v>
      </c>
      <c r="E68" s="13">
        <v>43890</v>
      </c>
      <c r="F68" s="12">
        <v>108000000</v>
      </c>
      <c r="G68" s="12"/>
      <c r="H68" s="12">
        <v>1116106</v>
      </c>
      <c r="I68" s="12">
        <v>0</v>
      </c>
      <c r="J68" s="12"/>
      <c r="K68" s="12">
        <v>0</v>
      </c>
      <c r="L68" s="12"/>
      <c r="M68" s="12"/>
      <c r="N68" s="12"/>
      <c r="O68" s="12"/>
      <c r="P68" s="12">
        <v>2818333.36</v>
      </c>
      <c r="Q68" s="12">
        <v>0</v>
      </c>
      <c r="R68" s="12">
        <v>0</v>
      </c>
      <c r="S68" s="12">
        <v>2818333.36</v>
      </c>
      <c r="T68" s="12">
        <v>0</v>
      </c>
      <c r="U68" s="12">
        <v>21977081.670000002</v>
      </c>
      <c r="V68" s="12">
        <v>0</v>
      </c>
    </row>
    <row r="70" spans="1:22" x14ac:dyDescent="0.25">
      <c r="A70" t="s">
        <v>70</v>
      </c>
      <c r="C70" s="6">
        <f>SUM(U66:U68)</f>
        <v>24984471.710000001</v>
      </c>
      <c r="D70" t="s">
        <v>62</v>
      </c>
    </row>
    <row r="71" spans="1:22" x14ac:dyDescent="0.25">
      <c r="A71" t="s">
        <v>52</v>
      </c>
      <c r="B71" t="s">
        <v>26</v>
      </c>
      <c r="C71" t="s">
        <v>71</v>
      </c>
    </row>
    <row r="72" spans="1:22" x14ac:dyDescent="0.25">
      <c r="A72">
        <v>1006824</v>
      </c>
      <c r="B72">
        <f>K58</f>
        <v>300000</v>
      </c>
      <c r="C72" s="8">
        <f>B72/$B$80*$C$70</f>
        <v>69401.310305555555</v>
      </c>
    </row>
    <row r="73" spans="1:22" x14ac:dyDescent="0.25">
      <c r="A73">
        <v>1006825</v>
      </c>
      <c r="B73">
        <f t="shared" ref="B73:B79" si="7">K59</f>
        <v>500000</v>
      </c>
      <c r="C73" s="8">
        <f t="shared" ref="C73:C79" si="8">B73/$B$80*$C$70</f>
        <v>115668.85050925925</v>
      </c>
    </row>
    <row r="74" spans="1:22" x14ac:dyDescent="0.25">
      <c r="A74">
        <v>1006826</v>
      </c>
      <c r="B74">
        <f t="shared" si="7"/>
        <v>500000</v>
      </c>
      <c r="C74" s="8">
        <f t="shared" si="8"/>
        <v>115668.85050925925</v>
      </c>
    </row>
    <row r="75" spans="1:22" x14ac:dyDescent="0.25">
      <c r="A75">
        <v>1008174</v>
      </c>
      <c r="B75">
        <f t="shared" si="7"/>
        <v>4500000</v>
      </c>
      <c r="C75" s="8">
        <f t="shared" si="8"/>
        <v>1041019.6545833333</v>
      </c>
    </row>
    <row r="76" spans="1:22" x14ac:dyDescent="0.25">
      <c r="A76">
        <v>1008175</v>
      </c>
      <c r="B76">
        <f t="shared" si="7"/>
        <v>1700000</v>
      </c>
      <c r="C76" s="8">
        <f t="shared" si="8"/>
        <v>393274.09173148143</v>
      </c>
    </row>
    <row r="77" spans="1:22" x14ac:dyDescent="0.25">
      <c r="A77">
        <v>1008176</v>
      </c>
      <c r="B77">
        <f t="shared" si="7"/>
        <v>1000000</v>
      </c>
      <c r="C77" s="8">
        <f t="shared" si="8"/>
        <v>231337.70101851851</v>
      </c>
    </row>
    <row r="78" spans="1:22" x14ac:dyDescent="0.25">
      <c r="A78">
        <v>1008177</v>
      </c>
      <c r="B78">
        <f t="shared" si="7"/>
        <v>4500000</v>
      </c>
      <c r="C78" s="8">
        <f t="shared" si="8"/>
        <v>1041019.6545833333</v>
      </c>
    </row>
    <row r="79" spans="1:22" x14ac:dyDescent="0.25">
      <c r="A79">
        <v>1021956</v>
      </c>
      <c r="B79">
        <f t="shared" si="7"/>
        <v>95000000</v>
      </c>
      <c r="C79" s="8">
        <f t="shared" si="8"/>
        <v>21977081.59675926</v>
      </c>
    </row>
    <row r="80" spans="1:22" x14ac:dyDescent="0.25">
      <c r="A80" t="s">
        <v>53</v>
      </c>
      <c r="B80">
        <f>SUM(B72:B79)</f>
        <v>108000000</v>
      </c>
    </row>
    <row r="83" spans="1:16" x14ac:dyDescent="0.25">
      <c r="A83" s="3" t="s">
        <v>78</v>
      </c>
      <c r="B83" s="3"/>
      <c r="C83" s="3"/>
      <c r="D83" s="3" t="s">
        <v>79</v>
      </c>
    </row>
    <row r="84" spans="1:16" x14ac:dyDescent="0.25">
      <c r="A84" t="s">
        <v>25</v>
      </c>
      <c r="B84" t="s">
        <v>28</v>
      </c>
      <c r="C84" t="s">
        <v>29</v>
      </c>
      <c r="D84" t="s">
        <v>69</v>
      </c>
      <c r="E84" t="s">
        <v>0</v>
      </c>
    </row>
    <row r="85" spans="1:16" x14ac:dyDescent="0.25">
      <c r="A85" s="5">
        <v>1115230</v>
      </c>
      <c r="B85">
        <v>0</v>
      </c>
      <c r="C85" s="6">
        <v>334981.44</v>
      </c>
      <c r="D85" s="8">
        <f>E186</f>
        <v>14890.640000000001</v>
      </c>
      <c r="E85" s="8">
        <f>C85-B85+D85</f>
        <v>349872.08</v>
      </c>
      <c r="M85" s="6"/>
    </row>
    <row r="86" spans="1:16" x14ac:dyDescent="0.25">
      <c r="A86" s="5">
        <v>1115231</v>
      </c>
      <c r="B86">
        <v>0</v>
      </c>
      <c r="C86" s="6">
        <v>40521.949999999997</v>
      </c>
      <c r="D86" s="8">
        <f t="shared" ref="D86:D95" si="9">E187</f>
        <v>1801.2872168600002</v>
      </c>
      <c r="E86" s="8">
        <f t="shared" ref="E86:E95" si="10">C86-B86+D86</f>
        <v>42323.237216859998</v>
      </c>
    </row>
    <row r="87" spans="1:16" x14ac:dyDescent="0.25">
      <c r="A87" s="5">
        <v>1115402</v>
      </c>
      <c r="B87">
        <v>0</v>
      </c>
      <c r="C87" s="6">
        <v>1215658.45</v>
      </c>
      <c r="D87" s="8">
        <f t="shared" si="9"/>
        <v>54038.612783140001</v>
      </c>
      <c r="E87" s="8">
        <f t="shared" si="10"/>
        <v>1269697.06278314</v>
      </c>
    </row>
    <row r="88" spans="1:16" x14ac:dyDescent="0.25">
      <c r="A88" s="5">
        <v>1115403</v>
      </c>
      <c r="B88">
        <v>0</v>
      </c>
      <c r="C88" s="6">
        <v>669962.88</v>
      </c>
      <c r="D88" s="8">
        <f t="shared" si="9"/>
        <v>111156.21333333333</v>
      </c>
      <c r="E88" s="8">
        <f t="shared" si="10"/>
        <v>781119.09333333338</v>
      </c>
    </row>
    <row r="89" spans="1:16" x14ac:dyDescent="0.25">
      <c r="A89" s="5">
        <v>1115431</v>
      </c>
      <c r="B89">
        <v>0</v>
      </c>
      <c r="C89" s="6">
        <v>83745.36</v>
      </c>
      <c r="D89" s="8">
        <f t="shared" si="9"/>
        <v>3722.6600000000003</v>
      </c>
      <c r="E89" s="6">
        <f t="shared" si="10"/>
        <v>87468.02</v>
      </c>
    </row>
    <row r="90" spans="1:16" x14ac:dyDescent="0.25">
      <c r="A90">
        <v>1118798</v>
      </c>
      <c r="B90" s="6">
        <v>12412.16</v>
      </c>
      <c r="C90" s="6">
        <v>16749.07</v>
      </c>
      <c r="D90" s="8">
        <f t="shared" si="9"/>
        <v>2688.2786666666666</v>
      </c>
      <c r="E90" s="6">
        <f t="shared" si="10"/>
        <v>7025.1886666666669</v>
      </c>
    </row>
    <row r="91" spans="1:16" x14ac:dyDescent="0.25">
      <c r="A91">
        <v>1118799</v>
      </c>
      <c r="B91" s="6">
        <v>12412.16</v>
      </c>
      <c r="C91" s="6">
        <v>16749.07</v>
      </c>
      <c r="D91" s="8">
        <f t="shared" si="9"/>
        <v>2688.2786666666666</v>
      </c>
      <c r="E91" s="6">
        <f t="shared" si="10"/>
        <v>7025.1886666666669</v>
      </c>
    </row>
    <row r="92" spans="1:16" x14ac:dyDescent="0.25">
      <c r="A92">
        <v>1118800</v>
      </c>
      <c r="B92" s="6">
        <v>12412.16</v>
      </c>
      <c r="C92" s="6">
        <v>16749.07</v>
      </c>
      <c r="D92" s="8">
        <f t="shared" si="9"/>
        <v>2688.2786666666666</v>
      </c>
      <c r="E92" s="6">
        <f t="shared" si="10"/>
        <v>7025.1886666666669</v>
      </c>
      <c r="N92" s="1"/>
      <c r="O92" s="1"/>
      <c r="P92" s="8"/>
    </row>
    <row r="93" spans="1:16" x14ac:dyDescent="0.25">
      <c r="A93">
        <v>1118801</v>
      </c>
      <c r="B93" s="6">
        <v>12412.16</v>
      </c>
      <c r="C93" s="6">
        <v>16749.07</v>
      </c>
      <c r="D93" s="8">
        <f t="shared" si="9"/>
        <v>2688.2786666666666</v>
      </c>
      <c r="E93" s="6">
        <f t="shared" si="10"/>
        <v>7025.1886666666669</v>
      </c>
    </row>
    <row r="94" spans="1:16" x14ac:dyDescent="0.25">
      <c r="A94">
        <v>1118802</v>
      </c>
      <c r="B94" s="6">
        <v>12412.16</v>
      </c>
      <c r="C94" s="6">
        <v>16749.07</v>
      </c>
      <c r="D94" s="8">
        <f t="shared" si="9"/>
        <v>2688.2786666666666</v>
      </c>
      <c r="E94" s="6">
        <f t="shared" si="10"/>
        <v>7025.1886666666669</v>
      </c>
    </row>
    <row r="95" spans="1:16" x14ac:dyDescent="0.25">
      <c r="A95">
        <v>1118803</v>
      </c>
      <c r="B95" s="6">
        <v>62060.800000000003</v>
      </c>
      <c r="C95" s="6">
        <v>83745.36</v>
      </c>
      <c r="D95" s="8">
        <f t="shared" si="9"/>
        <v>13441.393333333333</v>
      </c>
      <c r="E95" s="6">
        <f t="shared" si="10"/>
        <v>35125.953333333331</v>
      </c>
    </row>
    <row r="96" spans="1:16" x14ac:dyDescent="0.25">
      <c r="D96" t="s">
        <v>27</v>
      </c>
      <c r="E96" s="8">
        <f>SUM(E85:E95)</f>
        <v>2600731.3900000006</v>
      </c>
    </row>
    <row r="97" spans="1:22" x14ac:dyDescent="0.25">
      <c r="C97" t="s">
        <v>24</v>
      </c>
      <c r="E97" s="6">
        <v>2600731.39</v>
      </c>
      <c r="G97" s="8"/>
    </row>
    <row r="98" spans="1:22" x14ac:dyDescent="0.25">
      <c r="E98" s="6"/>
      <c r="G98" s="8"/>
    </row>
    <row r="99" spans="1:22" x14ac:dyDescent="0.25">
      <c r="A99" t="s">
        <v>80</v>
      </c>
      <c r="E99" s="6"/>
      <c r="G99" s="8"/>
    </row>
    <row r="100" spans="1:22" x14ac:dyDescent="0.25">
      <c r="A100" t="s">
        <v>63</v>
      </c>
      <c r="E100" s="6"/>
      <c r="G100" s="8"/>
    </row>
    <row r="101" spans="1:22" x14ac:dyDescent="0.25">
      <c r="A101" t="s">
        <v>96</v>
      </c>
      <c r="E101" s="6"/>
      <c r="G101" s="8"/>
    </row>
    <row r="102" spans="1:22" x14ac:dyDescent="0.25">
      <c r="E102" s="6"/>
      <c r="G102" s="8"/>
    </row>
    <row r="103" spans="1:22" x14ac:dyDescent="0.25">
      <c r="A103" t="s">
        <v>1</v>
      </c>
      <c r="B103" t="s">
        <v>2</v>
      </c>
      <c r="C103" t="s">
        <v>3</v>
      </c>
      <c r="D103" t="s">
        <v>4</v>
      </c>
      <c r="E103" s="6" t="s">
        <v>5</v>
      </c>
      <c r="F103" t="s">
        <v>6</v>
      </c>
      <c r="G103" s="8" t="s">
        <v>7</v>
      </c>
      <c r="H103" t="s">
        <v>8</v>
      </c>
      <c r="I103" t="s">
        <v>9</v>
      </c>
      <c r="J103" t="s">
        <v>10</v>
      </c>
      <c r="K103" t="s">
        <v>11</v>
      </c>
      <c r="L103" t="s">
        <v>12</v>
      </c>
      <c r="M103" t="s">
        <v>42</v>
      </c>
      <c r="N103" t="s">
        <v>43</v>
      </c>
      <c r="O103" t="s">
        <v>44</v>
      </c>
      <c r="P103" t="s">
        <v>13</v>
      </c>
      <c r="Q103" t="s">
        <v>14</v>
      </c>
      <c r="R103" t="s">
        <v>15</v>
      </c>
      <c r="S103" t="s">
        <v>16</v>
      </c>
      <c r="T103" t="s">
        <v>17</v>
      </c>
      <c r="U103" t="s">
        <v>18</v>
      </c>
      <c r="V103" t="s">
        <v>19</v>
      </c>
    </row>
    <row r="104" spans="1:22" x14ac:dyDescent="0.25">
      <c r="A104" t="s">
        <v>20</v>
      </c>
      <c r="B104" t="s">
        <v>64</v>
      </c>
      <c r="C104" t="s">
        <v>21</v>
      </c>
      <c r="D104" t="s">
        <v>65</v>
      </c>
      <c r="E104" s="11">
        <v>43896</v>
      </c>
      <c r="F104">
        <v>120000000</v>
      </c>
      <c r="G104" s="8"/>
      <c r="H104">
        <v>1115230</v>
      </c>
      <c r="I104">
        <v>16000000</v>
      </c>
      <c r="K104">
        <v>16000000</v>
      </c>
      <c r="P104">
        <v>800</v>
      </c>
      <c r="Q104">
        <v>4000</v>
      </c>
      <c r="R104">
        <v>800</v>
      </c>
      <c r="S104">
        <v>0</v>
      </c>
      <c r="T104">
        <v>4800</v>
      </c>
      <c r="U104">
        <v>6194.8</v>
      </c>
      <c r="V104">
        <v>37286.400000000001</v>
      </c>
    </row>
    <row r="105" spans="1:22" x14ac:dyDescent="0.25">
      <c r="A105" t="s">
        <v>20</v>
      </c>
      <c r="B105" t="s">
        <v>64</v>
      </c>
      <c r="C105" t="s">
        <v>21</v>
      </c>
      <c r="D105" t="s">
        <v>65</v>
      </c>
      <c r="E105" s="11">
        <v>43896</v>
      </c>
      <c r="F105">
        <v>120000000</v>
      </c>
      <c r="G105" s="8"/>
      <c r="H105">
        <v>1115231</v>
      </c>
      <c r="I105">
        <v>1935484</v>
      </c>
      <c r="K105">
        <v>1935484</v>
      </c>
      <c r="P105">
        <v>180.65</v>
      </c>
      <c r="Q105">
        <v>400</v>
      </c>
      <c r="R105">
        <v>180.65</v>
      </c>
      <c r="S105">
        <v>0</v>
      </c>
      <c r="T105">
        <v>580.65</v>
      </c>
      <c r="U105">
        <v>1401.29</v>
      </c>
      <c r="V105">
        <v>4510.45</v>
      </c>
    </row>
    <row r="106" spans="1:22" x14ac:dyDescent="0.25">
      <c r="A106" t="s">
        <v>20</v>
      </c>
      <c r="B106" t="s">
        <v>64</v>
      </c>
      <c r="C106" t="s">
        <v>21</v>
      </c>
      <c r="D106" t="s">
        <v>65</v>
      </c>
      <c r="E106" s="11">
        <v>43896</v>
      </c>
      <c r="F106">
        <v>120000000</v>
      </c>
      <c r="G106" s="8"/>
      <c r="H106">
        <v>1115402</v>
      </c>
      <c r="I106">
        <v>58064516</v>
      </c>
      <c r="K106">
        <v>58064516</v>
      </c>
      <c r="P106">
        <v>5419.35</v>
      </c>
      <c r="Q106">
        <v>12000</v>
      </c>
      <c r="R106">
        <v>5419.35</v>
      </c>
      <c r="S106">
        <v>0</v>
      </c>
      <c r="T106">
        <v>17419.349999999999</v>
      </c>
      <c r="U106">
        <v>42038.75</v>
      </c>
      <c r="V106">
        <v>135313.54999999999</v>
      </c>
    </row>
    <row r="107" spans="1:22" x14ac:dyDescent="0.25">
      <c r="A107" t="s">
        <v>20</v>
      </c>
      <c r="B107" t="s">
        <v>64</v>
      </c>
      <c r="C107" t="s">
        <v>21</v>
      </c>
      <c r="D107" t="s">
        <v>65</v>
      </c>
      <c r="E107" s="11">
        <v>43896</v>
      </c>
      <c r="F107">
        <v>120000000</v>
      </c>
      <c r="G107" s="8"/>
      <c r="H107">
        <v>1115403</v>
      </c>
      <c r="I107">
        <v>40000000</v>
      </c>
      <c r="K107">
        <v>40000000</v>
      </c>
      <c r="P107">
        <v>4000</v>
      </c>
      <c r="Q107">
        <v>8000</v>
      </c>
      <c r="R107">
        <v>4000</v>
      </c>
      <c r="S107">
        <v>0</v>
      </c>
      <c r="T107">
        <v>12000</v>
      </c>
      <c r="U107">
        <v>31032.799999999999</v>
      </c>
      <c r="V107">
        <v>93216</v>
      </c>
    </row>
    <row r="108" spans="1:22" x14ac:dyDescent="0.25">
      <c r="A108" t="s">
        <v>20</v>
      </c>
      <c r="B108" t="s">
        <v>64</v>
      </c>
      <c r="C108" t="s">
        <v>21</v>
      </c>
      <c r="D108" t="s">
        <v>65</v>
      </c>
      <c r="E108" s="11">
        <v>43896</v>
      </c>
      <c r="F108">
        <v>120000000</v>
      </c>
      <c r="G108" s="8"/>
      <c r="H108">
        <v>1115431</v>
      </c>
      <c r="I108">
        <v>4000000</v>
      </c>
      <c r="K108">
        <v>4000000</v>
      </c>
      <c r="P108">
        <v>200</v>
      </c>
      <c r="Q108">
        <v>1000</v>
      </c>
      <c r="R108">
        <v>200</v>
      </c>
      <c r="S108">
        <v>0</v>
      </c>
      <c r="T108">
        <v>1200</v>
      </c>
      <c r="U108">
        <v>1548.7</v>
      </c>
      <c r="V108">
        <v>9321.6</v>
      </c>
    </row>
    <row r="109" spans="1:22" x14ac:dyDescent="0.25">
      <c r="A109" s="18" t="s">
        <v>20</v>
      </c>
      <c r="B109" s="18" t="s">
        <v>64</v>
      </c>
      <c r="C109" s="18" t="s">
        <v>21</v>
      </c>
      <c r="D109" s="18" t="s">
        <v>65</v>
      </c>
      <c r="E109" s="27">
        <v>43896</v>
      </c>
      <c r="F109" s="18">
        <v>120000000</v>
      </c>
      <c r="G109" s="19"/>
      <c r="H109" s="18">
        <v>1116052</v>
      </c>
      <c r="I109" s="18">
        <v>0</v>
      </c>
      <c r="J109" s="18"/>
      <c r="K109" s="18">
        <v>0</v>
      </c>
      <c r="L109" s="18"/>
      <c r="M109" s="18"/>
      <c r="N109" s="18"/>
      <c r="O109" s="18"/>
      <c r="P109" s="18">
        <v>1000</v>
      </c>
      <c r="Q109" s="18">
        <v>0</v>
      </c>
      <c r="R109" s="18">
        <v>0</v>
      </c>
      <c r="S109" s="18">
        <v>1000</v>
      </c>
      <c r="T109" s="18">
        <v>0</v>
      </c>
      <c r="U109" s="18">
        <v>7768</v>
      </c>
      <c r="V109" s="18">
        <v>0</v>
      </c>
    </row>
    <row r="110" spans="1:22" x14ac:dyDescent="0.25">
      <c r="A110" s="18" t="s">
        <v>20</v>
      </c>
      <c r="B110" s="18" t="s">
        <v>64</v>
      </c>
      <c r="C110" s="18" t="s">
        <v>21</v>
      </c>
      <c r="D110" s="18" t="s">
        <v>65</v>
      </c>
      <c r="E110" s="27">
        <v>43896</v>
      </c>
      <c r="F110" s="18">
        <v>120000000</v>
      </c>
      <c r="G110" s="19"/>
      <c r="H110" s="18">
        <v>1116053</v>
      </c>
      <c r="I110" s="18">
        <v>0</v>
      </c>
      <c r="J110" s="18"/>
      <c r="K110" s="18">
        <v>0</v>
      </c>
      <c r="L110" s="18"/>
      <c r="M110" s="18"/>
      <c r="N110" s="18"/>
      <c r="O110" s="18"/>
      <c r="P110" s="18">
        <v>400</v>
      </c>
      <c r="Q110" s="18">
        <v>0</v>
      </c>
      <c r="R110" s="18">
        <v>0</v>
      </c>
      <c r="S110" s="18">
        <v>400</v>
      </c>
      <c r="T110" s="18">
        <v>0</v>
      </c>
      <c r="U110" s="18">
        <v>3107.2</v>
      </c>
      <c r="V110" s="18">
        <v>0</v>
      </c>
    </row>
    <row r="111" spans="1:22" x14ac:dyDescent="0.25">
      <c r="E111" s="6"/>
      <c r="G111" s="8"/>
    </row>
    <row r="112" spans="1:22" x14ac:dyDescent="0.25">
      <c r="E112" s="6"/>
      <c r="G112" s="8"/>
    </row>
    <row r="113" spans="1:22" x14ac:dyDescent="0.25">
      <c r="A113" t="s">
        <v>70</v>
      </c>
      <c r="C113">
        <f>SUM(U109:U110)</f>
        <v>10875.2</v>
      </c>
      <c r="E113" s="6"/>
      <c r="G113" s="8"/>
    </row>
    <row r="114" spans="1:22" x14ac:dyDescent="0.25">
      <c r="A114" t="s">
        <v>52</v>
      </c>
      <c r="B114" t="s">
        <v>26</v>
      </c>
      <c r="C114" t="s">
        <v>71</v>
      </c>
      <c r="E114" s="6"/>
      <c r="G114" s="8"/>
    </row>
    <row r="115" spans="1:22" x14ac:dyDescent="0.25">
      <c r="A115">
        <v>1115230</v>
      </c>
      <c r="B115">
        <v>16000000</v>
      </c>
      <c r="C115" s="6">
        <f>B115/$B$120*$C$113</f>
        <v>1450.0266666666666</v>
      </c>
      <c r="E115" s="23" t="s">
        <v>82</v>
      </c>
      <c r="F115" s="24"/>
      <c r="G115" s="8"/>
    </row>
    <row r="116" spans="1:22" x14ac:dyDescent="0.25">
      <c r="A116">
        <v>1115231</v>
      </c>
      <c r="B116">
        <v>1935484</v>
      </c>
      <c r="C116" s="6">
        <f t="shared" ref="C116:C119" si="11">B116/$B$120*$C$113</f>
        <v>175.40646330666669</v>
      </c>
      <c r="E116" s="24"/>
      <c r="F116" s="24"/>
      <c r="G116" s="8"/>
    </row>
    <row r="117" spans="1:22" x14ac:dyDescent="0.25">
      <c r="A117">
        <v>1115402</v>
      </c>
      <c r="B117">
        <v>58064516</v>
      </c>
      <c r="C117" s="6">
        <f t="shared" si="11"/>
        <v>5262.193536693334</v>
      </c>
      <c r="E117" s="6"/>
      <c r="G117" s="8"/>
    </row>
    <row r="118" spans="1:22" x14ac:dyDescent="0.25">
      <c r="A118">
        <v>1115403</v>
      </c>
      <c r="B118">
        <v>40000000</v>
      </c>
      <c r="C118" s="6">
        <f t="shared" si="11"/>
        <v>3625.0666666666666</v>
      </c>
      <c r="E118" s="6"/>
      <c r="G118" s="8"/>
    </row>
    <row r="119" spans="1:22" x14ac:dyDescent="0.25">
      <c r="A119">
        <v>1115431</v>
      </c>
      <c r="B119">
        <v>4000000</v>
      </c>
      <c r="C119" s="6">
        <f t="shared" si="11"/>
        <v>362.50666666666666</v>
      </c>
      <c r="E119" s="6"/>
      <c r="G119" s="8"/>
    </row>
    <row r="120" spans="1:22" x14ac:dyDescent="0.25">
      <c r="A120" t="s">
        <v>81</v>
      </c>
      <c r="B120">
        <f>SUM(B115:B119)</f>
        <v>120000000</v>
      </c>
      <c r="E120" s="6"/>
      <c r="G120" s="8"/>
    </row>
    <row r="121" spans="1:22" x14ac:dyDescent="0.25">
      <c r="E121" s="6"/>
      <c r="G121" s="8"/>
    </row>
    <row r="122" spans="1:22" x14ac:dyDescent="0.25">
      <c r="E122" s="6"/>
      <c r="G122" s="8"/>
    </row>
    <row r="123" spans="1:22" x14ac:dyDescent="0.25">
      <c r="A123" t="s">
        <v>66</v>
      </c>
      <c r="E123" s="6"/>
      <c r="G123" s="8"/>
    </row>
    <row r="124" spans="1:22" x14ac:dyDescent="0.25">
      <c r="A124" t="s">
        <v>63</v>
      </c>
      <c r="E124" s="6"/>
      <c r="G124" s="8"/>
    </row>
    <row r="125" spans="1:22" x14ac:dyDescent="0.25">
      <c r="A125" t="s">
        <v>73</v>
      </c>
      <c r="E125" s="6"/>
      <c r="G125" s="8"/>
    </row>
    <row r="126" spans="1:22" x14ac:dyDescent="0.25">
      <c r="E126" s="6"/>
      <c r="G126" s="8"/>
    </row>
    <row r="127" spans="1:22" x14ac:dyDescent="0.25">
      <c r="A127" t="s">
        <v>1</v>
      </c>
      <c r="B127" t="s">
        <v>2</v>
      </c>
      <c r="C127" t="s">
        <v>3</v>
      </c>
      <c r="D127" t="s">
        <v>4</v>
      </c>
      <c r="E127" s="6" t="s">
        <v>5</v>
      </c>
      <c r="F127" t="s">
        <v>6</v>
      </c>
      <c r="G127" s="8" t="s">
        <v>7</v>
      </c>
      <c r="H127" t="s">
        <v>8</v>
      </c>
      <c r="I127" t="s">
        <v>9</v>
      </c>
      <c r="J127" t="s">
        <v>10</v>
      </c>
      <c r="K127" t="s">
        <v>11</v>
      </c>
      <c r="L127" t="s">
        <v>12</v>
      </c>
      <c r="M127" t="s">
        <v>42</v>
      </c>
      <c r="N127" t="s">
        <v>43</v>
      </c>
      <c r="O127" t="s">
        <v>44</v>
      </c>
      <c r="P127" t="s">
        <v>13</v>
      </c>
      <c r="Q127" t="s">
        <v>14</v>
      </c>
      <c r="R127" t="s">
        <v>15</v>
      </c>
      <c r="S127" t="s">
        <v>16</v>
      </c>
      <c r="T127" t="s">
        <v>17</v>
      </c>
      <c r="U127" t="s">
        <v>18</v>
      </c>
      <c r="V127" t="s">
        <v>19</v>
      </c>
    </row>
    <row r="128" spans="1:22" x14ac:dyDescent="0.25">
      <c r="A128" t="s">
        <v>20</v>
      </c>
      <c r="B128" t="s">
        <v>64</v>
      </c>
      <c r="C128" t="s">
        <v>21</v>
      </c>
      <c r="D128" t="s">
        <v>65</v>
      </c>
      <c r="E128" s="11">
        <v>43920</v>
      </c>
      <c r="F128">
        <v>40000000</v>
      </c>
      <c r="G128" s="8"/>
      <c r="H128">
        <v>1115403</v>
      </c>
      <c r="I128">
        <v>32000000</v>
      </c>
      <c r="K128">
        <v>32000000</v>
      </c>
      <c r="P128">
        <v>-10400</v>
      </c>
      <c r="Q128">
        <v>104000</v>
      </c>
      <c r="R128">
        <v>-10400</v>
      </c>
      <c r="S128">
        <v>0</v>
      </c>
      <c r="T128">
        <v>93600</v>
      </c>
      <c r="U128">
        <v>-80337.919999999998</v>
      </c>
      <c r="V128">
        <v>725849.28</v>
      </c>
    </row>
    <row r="129" spans="1:23" x14ac:dyDescent="0.25">
      <c r="A129" t="s">
        <v>20</v>
      </c>
      <c r="B129" t="s">
        <v>64</v>
      </c>
      <c r="C129" t="s">
        <v>21</v>
      </c>
      <c r="D129" t="s">
        <v>65</v>
      </c>
      <c r="E129" s="11">
        <v>43920</v>
      </c>
      <c r="F129">
        <v>40000000</v>
      </c>
      <c r="G129" s="8"/>
      <c r="H129">
        <v>1118798</v>
      </c>
      <c r="I129">
        <v>800000</v>
      </c>
      <c r="K129">
        <v>800000</v>
      </c>
      <c r="P129">
        <v>-260</v>
      </c>
      <c r="Q129">
        <v>2600</v>
      </c>
      <c r="R129">
        <v>-260</v>
      </c>
      <c r="S129">
        <v>0</v>
      </c>
      <c r="T129">
        <v>2340</v>
      </c>
      <c r="U129">
        <v>-2008.45</v>
      </c>
      <c r="V129">
        <v>18146.23</v>
      </c>
    </row>
    <row r="130" spans="1:23" x14ac:dyDescent="0.25">
      <c r="A130" t="s">
        <v>20</v>
      </c>
      <c r="B130" t="s">
        <v>64</v>
      </c>
      <c r="C130" t="s">
        <v>21</v>
      </c>
      <c r="D130" t="s">
        <v>65</v>
      </c>
      <c r="E130" s="11">
        <v>43920</v>
      </c>
      <c r="F130">
        <v>40000000</v>
      </c>
      <c r="G130" s="8"/>
      <c r="H130">
        <v>1118799</v>
      </c>
      <c r="I130">
        <v>800000</v>
      </c>
      <c r="K130">
        <v>800000</v>
      </c>
      <c r="P130">
        <v>-260</v>
      </c>
      <c r="Q130">
        <v>2600</v>
      </c>
      <c r="R130">
        <v>-260</v>
      </c>
      <c r="S130">
        <v>0</v>
      </c>
      <c r="T130">
        <v>2340</v>
      </c>
      <c r="U130">
        <v>-2008.45</v>
      </c>
      <c r="V130">
        <v>18146.23</v>
      </c>
    </row>
    <row r="131" spans="1:23" x14ac:dyDescent="0.25">
      <c r="A131" t="s">
        <v>20</v>
      </c>
      <c r="B131" t="s">
        <v>64</v>
      </c>
      <c r="C131" t="s">
        <v>21</v>
      </c>
      <c r="D131" t="s">
        <v>65</v>
      </c>
      <c r="E131" s="11">
        <v>43920</v>
      </c>
      <c r="F131">
        <v>40000000</v>
      </c>
      <c r="G131" s="8"/>
      <c r="H131">
        <v>1118800</v>
      </c>
      <c r="I131">
        <v>800000</v>
      </c>
      <c r="K131">
        <v>800000</v>
      </c>
      <c r="P131">
        <v>-260</v>
      </c>
      <c r="Q131">
        <v>2600</v>
      </c>
      <c r="R131">
        <v>-260</v>
      </c>
      <c r="S131">
        <v>0</v>
      </c>
      <c r="T131">
        <v>2340</v>
      </c>
      <c r="U131">
        <v>-2008.45</v>
      </c>
      <c r="V131">
        <v>18146.23</v>
      </c>
    </row>
    <row r="132" spans="1:23" x14ac:dyDescent="0.25">
      <c r="A132" t="s">
        <v>20</v>
      </c>
      <c r="B132" t="s">
        <v>64</v>
      </c>
      <c r="C132" t="s">
        <v>21</v>
      </c>
      <c r="D132" t="s">
        <v>65</v>
      </c>
      <c r="E132" s="11">
        <v>43920</v>
      </c>
      <c r="F132">
        <v>40000000</v>
      </c>
      <c r="G132" s="8"/>
      <c r="H132">
        <v>1118801</v>
      </c>
      <c r="I132">
        <v>800000</v>
      </c>
      <c r="K132">
        <v>800000</v>
      </c>
      <c r="P132">
        <v>-260</v>
      </c>
      <c r="Q132">
        <v>2600</v>
      </c>
      <c r="R132">
        <v>-260</v>
      </c>
      <c r="S132">
        <v>0</v>
      </c>
      <c r="T132">
        <v>2340</v>
      </c>
      <c r="U132">
        <v>-2008.45</v>
      </c>
      <c r="V132">
        <v>18146.23</v>
      </c>
    </row>
    <row r="133" spans="1:23" x14ac:dyDescent="0.25">
      <c r="A133" t="s">
        <v>20</v>
      </c>
      <c r="B133" t="s">
        <v>64</v>
      </c>
      <c r="C133" t="s">
        <v>21</v>
      </c>
      <c r="D133" t="s">
        <v>65</v>
      </c>
      <c r="E133" s="11">
        <v>43920</v>
      </c>
      <c r="F133">
        <v>40000000</v>
      </c>
      <c r="G133" s="8"/>
      <c r="H133">
        <v>1118802</v>
      </c>
      <c r="I133">
        <v>800000</v>
      </c>
      <c r="K133">
        <v>800000</v>
      </c>
      <c r="P133">
        <v>-260</v>
      </c>
      <c r="Q133">
        <v>2600</v>
      </c>
      <c r="R133">
        <v>-260</v>
      </c>
      <c r="S133">
        <v>0</v>
      </c>
      <c r="T133">
        <v>2340</v>
      </c>
      <c r="U133">
        <v>-2008.45</v>
      </c>
      <c r="V133">
        <v>18146.23</v>
      </c>
    </row>
    <row r="134" spans="1:23" x14ac:dyDescent="0.25">
      <c r="A134" t="s">
        <v>20</v>
      </c>
      <c r="B134" t="s">
        <v>64</v>
      </c>
      <c r="C134" t="s">
        <v>21</v>
      </c>
      <c r="D134" t="s">
        <v>65</v>
      </c>
      <c r="E134" s="11">
        <v>43920</v>
      </c>
      <c r="F134">
        <v>40000000</v>
      </c>
      <c r="G134" s="8"/>
      <c r="H134">
        <v>1118803</v>
      </c>
      <c r="I134">
        <v>4000000</v>
      </c>
      <c r="K134">
        <v>4000000</v>
      </c>
      <c r="P134">
        <v>-1300</v>
      </c>
      <c r="Q134">
        <v>13000</v>
      </c>
      <c r="R134">
        <v>-1300</v>
      </c>
      <c r="S134">
        <v>0</v>
      </c>
      <c r="T134">
        <v>11700</v>
      </c>
      <c r="U134">
        <v>-10042.24</v>
      </c>
      <c r="V134">
        <v>90731.16</v>
      </c>
    </row>
    <row r="135" spans="1:23" x14ac:dyDescent="0.25">
      <c r="A135" s="12" t="s">
        <v>20</v>
      </c>
      <c r="B135" s="12" t="s">
        <v>64</v>
      </c>
      <c r="C135" s="12" t="s">
        <v>21</v>
      </c>
      <c r="D135" s="12" t="s">
        <v>65</v>
      </c>
      <c r="E135" s="16">
        <v>43920</v>
      </c>
      <c r="F135" s="12">
        <v>40000000</v>
      </c>
      <c r="G135" s="15"/>
      <c r="H135" s="12">
        <v>1118855</v>
      </c>
      <c r="I135" s="12">
        <v>0</v>
      </c>
      <c r="J135" s="12"/>
      <c r="K135" s="12">
        <v>0</v>
      </c>
      <c r="L135" s="12"/>
      <c r="M135" s="12"/>
      <c r="N135" s="12"/>
      <c r="O135" s="12"/>
      <c r="P135" s="12">
        <v>13000</v>
      </c>
      <c r="Q135" s="12">
        <v>0</v>
      </c>
      <c r="R135" s="12">
        <v>0</v>
      </c>
      <c r="S135" s="12">
        <v>13000</v>
      </c>
      <c r="T135" s="12">
        <v>0</v>
      </c>
      <c r="U135" s="12">
        <v>100812.4</v>
      </c>
      <c r="V135" s="12">
        <v>0</v>
      </c>
      <c r="W135" s="12"/>
    </row>
    <row r="136" spans="1:23" x14ac:dyDescent="0.25">
      <c r="E136" s="6"/>
      <c r="G136" s="8"/>
    </row>
    <row r="137" spans="1:23" x14ac:dyDescent="0.25">
      <c r="A137" t="s">
        <v>70</v>
      </c>
      <c r="C137" s="6">
        <f>U135</f>
        <v>100812.4</v>
      </c>
      <c r="D137" t="s">
        <v>62</v>
      </c>
      <c r="E137" s="6"/>
      <c r="G137" s="8"/>
    </row>
    <row r="138" spans="1:23" x14ac:dyDescent="0.25">
      <c r="A138" t="s">
        <v>52</v>
      </c>
      <c r="B138" t="s">
        <v>26</v>
      </c>
      <c r="C138" t="s">
        <v>71</v>
      </c>
      <c r="E138" s="6"/>
      <c r="G138" s="8"/>
    </row>
    <row r="139" spans="1:23" x14ac:dyDescent="0.25">
      <c r="A139">
        <v>1115403</v>
      </c>
      <c r="B139">
        <f>K128</f>
        <v>32000000</v>
      </c>
      <c r="C139" s="8">
        <f>B139/$B$146*$C$137</f>
        <v>80649.919999999998</v>
      </c>
      <c r="E139" s="23" t="s">
        <v>83</v>
      </c>
      <c r="F139" s="24"/>
      <c r="G139" s="8"/>
    </row>
    <row r="140" spans="1:23" x14ac:dyDescent="0.25">
      <c r="A140">
        <v>1118798</v>
      </c>
      <c r="B140">
        <f t="shared" ref="B140:B145" si="12">K129</f>
        <v>800000</v>
      </c>
      <c r="C140" s="8">
        <f t="shared" ref="C140:C145" si="13">B140/$B$146*$C$137</f>
        <v>2016.2479999999998</v>
      </c>
      <c r="E140" s="24"/>
      <c r="F140" s="24"/>
      <c r="G140" s="8"/>
    </row>
    <row r="141" spans="1:23" x14ac:dyDescent="0.25">
      <c r="A141">
        <v>1118799</v>
      </c>
      <c r="B141">
        <f t="shared" si="12"/>
        <v>800000</v>
      </c>
      <c r="C141" s="8">
        <f t="shared" si="13"/>
        <v>2016.2479999999998</v>
      </c>
      <c r="E141" s="6"/>
      <c r="G141" s="8"/>
    </row>
    <row r="142" spans="1:23" x14ac:dyDescent="0.25">
      <c r="A142">
        <v>1118800</v>
      </c>
      <c r="B142">
        <f t="shared" si="12"/>
        <v>800000</v>
      </c>
      <c r="C142" s="8">
        <f t="shared" si="13"/>
        <v>2016.2479999999998</v>
      </c>
      <c r="E142" s="6"/>
      <c r="G142" s="8"/>
    </row>
    <row r="143" spans="1:23" x14ac:dyDescent="0.25">
      <c r="A143">
        <v>1118801</v>
      </c>
      <c r="B143">
        <f t="shared" si="12"/>
        <v>800000</v>
      </c>
      <c r="C143" s="8">
        <f t="shared" si="13"/>
        <v>2016.2479999999998</v>
      </c>
      <c r="E143" s="6"/>
      <c r="G143" s="8"/>
    </row>
    <row r="144" spans="1:23" x14ac:dyDescent="0.25">
      <c r="A144">
        <v>1118802</v>
      </c>
      <c r="B144">
        <f t="shared" si="12"/>
        <v>800000</v>
      </c>
      <c r="C144" s="8">
        <f t="shared" si="13"/>
        <v>2016.2479999999998</v>
      </c>
      <c r="E144" s="6"/>
      <c r="G144" s="8"/>
    </row>
    <row r="145" spans="1:22" x14ac:dyDescent="0.25">
      <c r="A145">
        <v>1118803</v>
      </c>
      <c r="B145">
        <f t="shared" si="12"/>
        <v>4000000</v>
      </c>
      <c r="C145" s="8">
        <f t="shared" si="13"/>
        <v>10081.24</v>
      </c>
      <c r="E145" s="6"/>
      <c r="G145" s="8"/>
    </row>
    <row r="146" spans="1:22" x14ac:dyDescent="0.25">
      <c r="A146" t="s">
        <v>53</v>
      </c>
      <c r="B146">
        <f>SUM(B139:B145)</f>
        <v>40000000</v>
      </c>
      <c r="E146" s="6"/>
      <c r="G146" s="8"/>
    </row>
    <row r="147" spans="1:22" x14ac:dyDescent="0.25">
      <c r="E147" s="6"/>
      <c r="G147" s="8"/>
    </row>
    <row r="148" spans="1:22" x14ac:dyDescent="0.25">
      <c r="E148" s="6"/>
      <c r="G148" s="8"/>
    </row>
    <row r="149" spans="1:22" x14ac:dyDescent="0.25">
      <c r="A149" t="s">
        <v>72</v>
      </c>
      <c r="E149" s="6"/>
      <c r="G149" s="8"/>
    </row>
    <row r="150" spans="1:22" x14ac:dyDescent="0.25">
      <c r="A150" t="s">
        <v>63</v>
      </c>
      <c r="E150" s="6"/>
      <c r="G150" s="8"/>
    </row>
    <row r="151" spans="1:22" x14ac:dyDescent="0.25">
      <c r="A151" t="s">
        <v>95</v>
      </c>
      <c r="E151" s="6"/>
      <c r="G151" s="8"/>
    </row>
    <row r="152" spans="1:22" x14ac:dyDescent="0.25">
      <c r="E152" s="6"/>
      <c r="G152" s="8"/>
    </row>
    <row r="153" spans="1:22" x14ac:dyDescent="0.25">
      <c r="A153" t="s">
        <v>76</v>
      </c>
      <c r="E153" s="6"/>
      <c r="G153" s="8"/>
    </row>
    <row r="154" spans="1:22" x14ac:dyDescent="0.25">
      <c r="A154" t="s">
        <v>1</v>
      </c>
      <c r="B154" t="s">
        <v>2</v>
      </c>
      <c r="C154" t="s">
        <v>3</v>
      </c>
      <c r="D154" t="s">
        <v>4</v>
      </c>
      <c r="E154" s="6" t="s">
        <v>5</v>
      </c>
      <c r="F154" t="s">
        <v>6</v>
      </c>
      <c r="G154" s="8" t="s">
        <v>7</v>
      </c>
      <c r="H154" t="s">
        <v>8</v>
      </c>
      <c r="I154" t="s">
        <v>9</v>
      </c>
      <c r="J154" t="s">
        <v>10</v>
      </c>
      <c r="K154" t="s">
        <v>11</v>
      </c>
      <c r="L154" t="s">
        <v>12</v>
      </c>
      <c r="M154" t="s">
        <v>42</v>
      </c>
      <c r="N154" t="s">
        <v>43</v>
      </c>
      <c r="O154" t="s">
        <v>44</v>
      </c>
      <c r="P154" t="s">
        <v>13</v>
      </c>
      <c r="Q154" t="s">
        <v>14</v>
      </c>
      <c r="R154" t="s">
        <v>15</v>
      </c>
      <c r="S154" t="s">
        <v>16</v>
      </c>
      <c r="T154" t="s">
        <v>17</v>
      </c>
      <c r="U154" t="s">
        <v>18</v>
      </c>
      <c r="V154" t="s">
        <v>19</v>
      </c>
    </row>
    <row r="155" spans="1:22" x14ac:dyDescent="0.25">
      <c r="A155" s="5" t="s">
        <v>20</v>
      </c>
      <c r="B155" s="5" t="s">
        <v>64</v>
      </c>
      <c r="C155" s="5" t="s">
        <v>21</v>
      </c>
      <c r="D155" s="5" t="s">
        <v>65</v>
      </c>
      <c r="E155" s="28">
        <v>43921</v>
      </c>
      <c r="F155" s="5">
        <v>120000000</v>
      </c>
      <c r="G155" s="17"/>
      <c r="H155" s="5">
        <v>1115230</v>
      </c>
      <c r="I155" s="5">
        <v>16000000</v>
      </c>
      <c r="J155" s="5"/>
      <c r="K155" s="5">
        <v>16000000</v>
      </c>
      <c r="L155" s="5"/>
      <c r="M155" s="5"/>
      <c r="N155" s="5"/>
      <c r="O155" s="5"/>
      <c r="P155" s="5">
        <v>1600</v>
      </c>
      <c r="Q155" s="5">
        <v>41600</v>
      </c>
      <c r="R155" s="5">
        <v>1600</v>
      </c>
      <c r="S155" s="5">
        <v>0</v>
      </c>
      <c r="T155" s="5">
        <v>43200</v>
      </c>
      <c r="U155" s="5">
        <v>12381.76</v>
      </c>
      <c r="V155" s="5">
        <v>334981.44</v>
      </c>
    </row>
    <row r="156" spans="1:22" x14ac:dyDescent="0.25">
      <c r="A156" s="5" t="s">
        <v>20</v>
      </c>
      <c r="B156" s="5" t="s">
        <v>64</v>
      </c>
      <c r="C156" s="5" t="s">
        <v>21</v>
      </c>
      <c r="D156" s="5" t="s">
        <v>65</v>
      </c>
      <c r="E156" s="28">
        <v>43921</v>
      </c>
      <c r="F156" s="5">
        <v>120000000</v>
      </c>
      <c r="G156" s="17"/>
      <c r="H156" s="5">
        <v>1115231</v>
      </c>
      <c r="I156" s="5">
        <v>1935484</v>
      </c>
      <c r="J156" s="5"/>
      <c r="K156" s="5">
        <v>1935484</v>
      </c>
      <c r="L156" s="5"/>
      <c r="M156" s="5"/>
      <c r="N156" s="5"/>
      <c r="O156" s="5"/>
      <c r="P156" s="5">
        <v>193.55</v>
      </c>
      <c r="Q156" s="5">
        <v>5032.26</v>
      </c>
      <c r="R156" s="5">
        <v>193.55</v>
      </c>
      <c r="S156" s="5">
        <v>0</v>
      </c>
      <c r="T156" s="5">
        <v>5225.8100000000004</v>
      </c>
      <c r="U156" s="5">
        <v>1497.79</v>
      </c>
      <c r="V156" s="5">
        <v>40521.949999999997</v>
      </c>
    </row>
    <row r="157" spans="1:22" x14ac:dyDescent="0.25">
      <c r="A157" s="5" t="s">
        <v>20</v>
      </c>
      <c r="B157" s="5" t="s">
        <v>64</v>
      </c>
      <c r="C157" s="5" t="s">
        <v>21</v>
      </c>
      <c r="D157" s="5" t="s">
        <v>65</v>
      </c>
      <c r="E157" s="28">
        <v>43921</v>
      </c>
      <c r="F157" s="5">
        <v>120000000</v>
      </c>
      <c r="G157" s="17"/>
      <c r="H157" s="5">
        <v>1115402</v>
      </c>
      <c r="I157" s="5">
        <v>58064516</v>
      </c>
      <c r="J157" s="5"/>
      <c r="K157" s="5">
        <v>58064516</v>
      </c>
      <c r="L157" s="5"/>
      <c r="M157" s="5"/>
      <c r="N157" s="5"/>
      <c r="O157" s="5"/>
      <c r="P157" s="5">
        <v>5806.45</v>
      </c>
      <c r="Q157" s="5">
        <v>150967.74</v>
      </c>
      <c r="R157" s="5">
        <v>5806.45</v>
      </c>
      <c r="S157" s="5">
        <v>0</v>
      </c>
      <c r="T157" s="5">
        <v>156774.19</v>
      </c>
      <c r="U157" s="5">
        <v>44933.81</v>
      </c>
      <c r="V157" s="5">
        <v>1215658.45</v>
      </c>
    </row>
    <row r="158" spans="1:22" x14ac:dyDescent="0.25">
      <c r="A158" s="5" t="s">
        <v>20</v>
      </c>
      <c r="B158" s="5" t="s">
        <v>64</v>
      </c>
      <c r="C158" s="5" t="s">
        <v>21</v>
      </c>
      <c r="D158" s="5" t="s">
        <v>65</v>
      </c>
      <c r="E158" s="28">
        <v>43921</v>
      </c>
      <c r="F158" s="5">
        <v>120000000</v>
      </c>
      <c r="G158" s="17"/>
      <c r="H158" s="5">
        <v>1115403</v>
      </c>
      <c r="I158" s="5">
        <v>32000000</v>
      </c>
      <c r="J158" s="5"/>
      <c r="K158" s="5">
        <v>32000000</v>
      </c>
      <c r="L158" s="5"/>
      <c r="M158" s="5"/>
      <c r="N158" s="5"/>
      <c r="O158" s="5"/>
      <c r="P158" s="5">
        <v>-7200</v>
      </c>
      <c r="Q158" s="5">
        <v>93600</v>
      </c>
      <c r="R158" s="5">
        <v>-7200</v>
      </c>
      <c r="S158" s="5">
        <v>0</v>
      </c>
      <c r="T158" s="5">
        <v>86400</v>
      </c>
      <c r="U158" s="5">
        <v>-55886.400000000001</v>
      </c>
      <c r="V158" s="5">
        <v>669962.88</v>
      </c>
    </row>
    <row r="159" spans="1:22" x14ac:dyDescent="0.25">
      <c r="A159" s="5" t="s">
        <v>20</v>
      </c>
      <c r="B159" s="5" t="s">
        <v>64</v>
      </c>
      <c r="C159" s="5" t="s">
        <v>21</v>
      </c>
      <c r="D159" s="5" t="s">
        <v>65</v>
      </c>
      <c r="E159" s="28">
        <v>43921</v>
      </c>
      <c r="F159" s="5">
        <v>120000000</v>
      </c>
      <c r="G159" s="17"/>
      <c r="H159" s="5">
        <v>1115431</v>
      </c>
      <c r="I159" s="5">
        <v>4000000</v>
      </c>
      <c r="J159" s="5"/>
      <c r="K159" s="5">
        <v>4000000</v>
      </c>
      <c r="L159" s="5"/>
      <c r="M159" s="5"/>
      <c r="N159" s="5"/>
      <c r="O159" s="5"/>
      <c r="P159" s="5">
        <v>400</v>
      </c>
      <c r="Q159" s="5">
        <v>10400</v>
      </c>
      <c r="R159" s="5">
        <v>400</v>
      </c>
      <c r="S159" s="5">
        <v>0</v>
      </c>
      <c r="T159" s="5">
        <v>10800</v>
      </c>
      <c r="U159" s="5">
        <v>3095.44</v>
      </c>
      <c r="V159" s="5">
        <v>83745.36</v>
      </c>
    </row>
    <row r="160" spans="1:22" x14ac:dyDescent="0.25">
      <c r="A160" t="s">
        <v>20</v>
      </c>
      <c r="B160" t="s">
        <v>64</v>
      </c>
      <c r="C160" t="s">
        <v>21</v>
      </c>
      <c r="D160" t="s">
        <v>65</v>
      </c>
      <c r="E160" s="11">
        <v>43921</v>
      </c>
      <c r="F160">
        <v>120000000</v>
      </c>
      <c r="G160" s="8"/>
      <c r="H160">
        <v>1118798</v>
      </c>
      <c r="I160">
        <v>800000</v>
      </c>
      <c r="K160">
        <v>800000</v>
      </c>
      <c r="P160">
        <v>-180</v>
      </c>
      <c r="Q160">
        <v>2340</v>
      </c>
      <c r="R160">
        <v>-180</v>
      </c>
      <c r="S160">
        <v>0</v>
      </c>
      <c r="T160">
        <v>2160</v>
      </c>
      <c r="U160">
        <v>-1397.16</v>
      </c>
      <c r="V160">
        <v>16749.07</v>
      </c>
    </row>
    <row r="161" spans="1:22" x14ac:dyDescent="0.25">
      <c r="A161" t="s">
        <v>20</v>
      </c>
      <c r="B161" t="s">
        <v>64</v>
      </c>
      <c r="C161" t="s">
        <v>21</v>
      </c>
      <c r="D161" t="s">
        <v>65</v>
      </c>
      <c r="E161" s="11">
        <v>43921</v>
      </c>
      <c r="F161">
        <v>120000000</v>
      </c>
      <c r="G161" s="8"/>
      <c r="H161">
        <v>1118799</v>
      </c>
      <c r="I161">
        <v>800000</v>
      </c>
      <c r="K161">
        <v>800000</v>
      </c>
      <c r="P161">
        <v>-180</v>
      </c>
      <c r="Q161">
        <v>2340</v>
      </c>
      <c r="R161">
        <v>-180</v>
      </c>
      <c r="S161">
        <v>0</v>
      </c>
      <c r="T161">
        <v>2160</v>
      </c>
      <c r="U161">
        <v>-1397.16</v>
      </c>
      <c r="V161">
        <v>16749.07</v>
      </c>
    </row>
    <row r="162" spans="1:22" x14ac:dyDescent="0.25">
      <c r="A162" t="s">
        <v>20</v>
      </c>
      <c r="B162" t="s">
        <v>64</v>
      </c>
      <c r="C162" t="s">
        <v>21</v>
      </c>
      <c r="D162" t="s">
        <v>65</v>
      </c>
      <c r="E162" s="11">
        <v>43921</v>
      </c>
      <c r="F162">
        <v>120000000</v>
      </c>
      <c r="G162" s="8"/>
      <c r="H162">
        <v>1118800</v>
      </c>
      <c r="I162">
        <v>800000</v>
      </c>
      <c r="K162">
        <v>800000</v>
      </c>
      <c r="P162">
        <v>-180</v>
      </c>
      <c r="Q162">
        <v>2340</v>
      </c>
      <c r="R162">
        <v>-180</v>
      </c>
      <c r="S162">
        <v>0</v>
      </c>
      <c r="T162">
        <v>2160</v>
      </c>
      <c r="U162">
        <v>-1397.16</v>
      </c>
      <c r="V162">
        <v>16749.07</v>
      </c>
    </row>
    <row r="163" spans="1:22" x14ac:dyDescent="0.25">
      <c r="A163" t="s">
        <v>20</v>
      </c>
      <c r="B163" t="s">
        <v>64</v>
      </c>
      <c r="C163" t="s">
        <v>21</v>
      </c>
      <c r="D163" t="s">
        <v>65</v>
      </c>
      <c r="E163" s="11">
        <v>43921</v>
      </c>
      <c r="F163">
        <v>120000000</v>
      </c>
      <c r="G163" s="8"/>
      <c r="H163">
        <v>1118801</v>
      </c>
      <c r="I163">
        <v>800000</v>
      </c>
      <c r="K163">
        <v>800000</v>
      </c>
      <c r="P163">
        <v>-180</v>
      </c>
      <c r="Q163">
        <v>2340</v>
      </c>
      <c r="R163">
        <v>-180</v>
      </c>
      <c r="S163">
        <v>0</v>
      </c>
      <c r="T163">
        <v>2160</v>
      </c>
      <c r="U163">
        <v>-1397.16</v>
      </c>
      <c r="V163">
        <v>16749.07</v>
      </c>
    </row>
    <row r="164" spans="1:22" x14ac:dyDescent="0.25">
      <c r="A164" t="s">
        <v>20</v>
      </c>
      <c r="B164" t="s">
        <v>64</v>
      </c>
      <c r="C164" t="s">
        <v>21</v>
      </c>
      <c r="D164" t="s">
        <v>65</v>
      </c>
      <c r="E164" s="11">
        <v>43921</v>
      </c>
      <c r="F164">
        <v>120000000</v>
      </c>
      <c r="G164" s="8"/>
      <c r="H164">
        <v>1118802</v>
      </c>
      <c r="I164">
        <v>800000</v>
      </c>
      <c r="K164">
        <v>800000</v>
      </c>
      <c r="P164">
        <v>-180</v>
      </c>
      <c r="Q164">
        <v>2340</v>
      </c>
      <c r="R164">
        <v>-180</v>
      </c>
      <c r="S164">
        <v>0</v>
      </c>
      <c r="T164">
        <v>2160</v>
      </c>
      <c r="U164">
        <v>-1397.16</v>
      </c>
      <c r="V164">
        <v>16749.07</v>
      </c>
    </row>
    <row r="165" spans="1:22" x14ac:dyDescent="0.25">
      <c r="A165" t="s">
        <v>20</v>
      </c>
      <c r="B165" t="s">
        <v>64</v>
      </c>
      <c r="C165" t="s">
        <v>21</v>
      </c>
      <c r="D165" t="s">
        <v>65</v>
      </c>
      <c r="E165" s="11">
        <v>43921</v>
      </c>
      <c r="F165">
        <v>120000000</v>
      </c>
      <c r="G165" s="8"/>
      <c r="H165">
        <v>1118803</v>
      </c>
      <c r="I165">
        <v>4000000</v>
      </c>
      <c r="K165">
        <v>4000000</v>
      </c>
      <c r="P165">
        <v>-900</v>
      </c>
      <c r="Q165">
        <v>11700</v>
      </c>
      <c r="R165">
        <v>-900</v>
      </c>
      <c r="S165">
        <v>0</v>
      </c>
      <c r="T165">
        <v>10800</v>
      </c>
      <c r="U165">
        <v>-6985.8</v>
      </c>
      <c r="V165">
        <v>83745.36</v>
      </c>
    </row>
    <row r="166" spans="1:22" x14ac:dyDescent="0.25">
      <c r="A166" s="12" t="s">
        <v>20</v>
      </c>
      <c r="B166" s="12" t="s">
        <v>64</v>
      </c>
      <c r="C166" s="12" t="s">
        <v>21</v>
      </c>
      <c r="D166" s="12" t="s">
        <v>65</v>
      </c>
      <c r="E166" s="16">
        <v>43921</v>
      </c>
      <c r="F166" s="12">
        <v>120000000</v>
      </c>
      <c r="G166" s="15"/>
      <c r="H166" s="12">
        <v>1118991</v>
      </c>
      <c r="I166" s="12">
        <v>0</v>
      </c>
      <c r="J166" s="12"/>
      <c r="K166" s="12">
        <v>0</v>
      </c>
      <c r="L166" s="12"/>
      <c r="M166" s="12"/>
      <c r="N166" s="12"/>
      <c r="O166" s="12"/>
      <c r="P166" s="12">
        <v>13000</v>
      </c>
      <c r="Q166" s="12">
        <v>0</v>
      </c>
      <c r="R166" s="12">
        <v>0</v>
      </c>
      <c r="S166" s="12">
        <v>13000</v>
      </c>
      <c r="T166" s="12">
        <v>0</v>
      </c>
      <c r="U166" s="12">
        <v>100804.6</v>
      </c>
      <c r="V166" s="12">
        <v>0</v>
      </c>
    </row>
    <row r="167" spans="1:22" x14ac:dyDescent="0.25">
      <c r="E167" s="6"/>
      <c r="G167" s="8"/>
    </row>
    <row r="168" spans="1:22" x14ac:dyDescent="0.25">
      <c r="A168" t="s">
        <v>70</v>
      </c>
      <c r="C168" s="6">
        <f>U166</f>
        <v>100804.6</v>
      </c>
      <c r="D168" t="s">
        <v>62</v>
      </c>
      <c r="E168" s="6"/>
    </row>
    <row r="169" spans="1:22" x14ac:dyDescent="0.25">
      <c r="A169" t="s">
        <v>52</v>
      </c>
      <c r="B169" t="s">
        <v>26</v>
      </c>
      <c r="C169" t="s">
        <v>71</v>
      </c>
      <c r="E169" s="6"/>
    </row>
    <row r="170" spans="1:22" x14ac:dyDescent="0.25">
      <c r="A170" s="5">
        <v>1115230</v>
      </c>
      <c r="B170">
        <f>K155</f>
        <v>16000000</v>
      </c>
      <c r="C170" s="8">
        <f>B170/$B$181*$C$168</f>
        <v>13440.613333333335</v>
      </c>
      <c r="E170" s="23" t="s">
        <v>84</v>
      </c>
      <c r="F170" s="24"/>
    </row>
    <row r="171" spans="1:22" x14ac:dyDescent="0.25">
      <c r="A171" s="5">
        <v>1115231</v>
      </c>
      <c r="B171">
        <f t="shared" ref="B171:B180" si="14">K156</f>
        <v>1935484</v>
      </c>
      <c r="C171" s="8">
        <f t="shared" ref="C171:C180" si="15">B171/$B$181*$C$168</f>
        <v>1625.8807535533335</v>
      </c>
      <c r="E171" s="24"/>
      <c r="F171" s="24"/>
    </row>
    <row r="172" spans="1:22" x14ac:dyDescent="0.25">
      <c r="A172" s="5">
        <v>1115402</v>
      </c>
      <c r="B172">
        <f t="shared" si="14"/>
        <v>58064516</v>
      </c>
      <c r="C172" s="8">
        <f t="shared" si="15"/>
        <v>48776.419246446669</v>
      </c>
      <c r="E172" s="6"/>
    </row>
    <row r="173" spans="1:22" x14ac:dyDescent="0.25">
      <c r="A173" s="5">
        <v>1115403</v>
      </c>
      <c r="B173">
        <f t="shared" si="14"/>
        <v>32000000</v>
      </c>
      <c r="C173" s="8">
        <f t="shared" si="15"/>
        <v>26881.226666666669</v>
      </c>
      <c r="E173" s="6"/>
    </row>
    <row r="174" spans="1:22" x14ac:dyDescent="0.25">
      <c r="A174" s="5">
        <v>1115431</v>
      </c>
      <c r="B174">
        <f t="shared" si="14"/>
        <v>4000000</v>
      </c>
      <c r="C174" s="8">
        <f t="shared" si="15"/>
        <v>3360.1533333333336</v>
      </c>
      <c r="E174" s="6"/>
    </row>
    <row r="175" spans="1:22" x14ac:dyDescent="0.25">
      <c r="A175">
        <v>1118798</v>
      </c>
      <c r="B175">
        <f t="shared" si="14"/>
        <v>800000</v>
      </c>
      <c r="C175" s="8">
        <f t="shared" si="15"/>
        <v>672.03066666666678</v>
      </c>
      <c r="E175" s="6"/>
    </row>
    <row r="176" spans="1:22" x14ac:dyDescent="0.25">
      <c r="A176">
        <v>1118799</v>
      </c>
      <c r="B176">
        <f t="shared" si="14"/>
        <v>800000</v>
      </c>
      <c r="C176" s="8">
        <f t="shared" si="15"/>
        <v>672.03066666666678</v>
      </c>
      <c r="E176" s="6"/>
    </row>
    <row r="177" spans="1:5" x14ac:dyDescent="0.25">
      <c r="A177">
        <v>1118800</v>
      </c>
      <c r="B177">
        <f t="shared" si="14"/>
        <v>800000</v>
      </c>
      <c r="C177" s="8">
        <f t="shared" si="15"/>
        <v>672.03066666666678</v>
      </c>
      <c r="E177" s="6"/>
    </row>
    <row r="178" spans="1:5" x14ac:dyDescent="0.25">
      <c r="A178">
        <v>1118801</v>
      </c>
      <c r="B178">
        <f t="shared" si="14"/>
        <v>800000</v>
      </c>
      <c r="C178" s="8">
        <f t="shared" si="15"/>
        <v>672.03066666666678</v>
      </c>
      <c r="E178" s="6"/>
    </row>
    <row r="179" spans="1:5" x14ac:dyDescent="0.25">
      <c r="A179">
        <v>1118802</v>
      </c>
      <c r="B179">
        <f t="shared" si="14"/>
        <v>800000</v>
      </c>
      <c r="C179" s="8">
        <f t="shared" si="15"/>
        <v>672.03066666666678</v>
      </c>
      <c r="E179" s="6"/>
    </row>
    <row r="180" spans="1:5" x14ac:dyDescent="0.25">
      <c r="A180">
        <v>1118803</v>
      </c>
      <c r="B180">
        <f t="shared" si="14"/>
        <v>4000000</v>
      </c>
      <c r="C180" s="8">
        <f t="shared" si="15"/>
        <v>3360.1533333333336</v>
      </c>
      <c r="E180" s="6"/>
    </row>
    <row r="181" spans="1:5" x14ac:dyDescent="0.25">
      <c r="A181" t="s">
        <v>81</v>
      </c>
      <c r="B181">
        <f>SUM(B170:B180)</f>
        <v>120000000</v>
      </c>
      <c r="E181" s="6"/>
    </row>
    <row r="182" spans="1:5" x14ac:dyDescent="0.25">
      <c r="E182" s="6"/>
    </row>
    <row r="183" spans="1:5" x14ac:dyDescent="0.25">
      <c r="A183" t="s">
        <v>85</v>
      </c>
    </row>
    <row r="184" spans="1:5" x14ac:dyDescent="0.25">
      <c r="B184" s="25" t="s">
        <v>71</v>
      </c>
      <c r="C184" s="26"/>
      <c r="D184" s="26"/>
      <c r="E184" s="26"/>
    </row>
    <row r="185" spans="1:5" x14ac:dyDescent="0.25">
      <c r="A185" t="s">
        <v>52</v>
      </c>
      <c r="B185" s="8" t="s">
        <v>86</v>
      </c>
      <c r="C185" t="s">
        <v>87</v>
      </c>
      <c r="D185" t="s">
        <v>88</v>
      </c>
      <c r="E185" t="s">
        <v>121</v>
      </c>
    </row>
    <row r="186" spans="1:5" x14ac:dyDescent="0.25">
      <c r="A186" s="5">
        <v>1115230</v>
      </c>
      <c r="B186" s="6">
        <v>1450.0266666666666</v>
      </c>
      <c r="C186" s="6"/>
      <c r="D186" s="6">
        <v>13440.613333333335</v>
      </c>
      <c r="E186" s="8">
        <f>SUM(B186:D186)</f>
        <v>14890.640000000001</v>
      </c>
    </row>
    <row r="187" spans="1:5" x14ac:dyDescent="0.25">
      <c r="A187" s="5">
        <v>1115231</v>
      </c>
      <c r="B187" s="6">
        <v>175.40646330666669</v>
      </c>
      <c r="C187" s="6"/>
      <c r="D187" s="6">
        <v>1625.8807535533335</v>
      </c>
      <c r="E187" s="8">
        <f t="shared" ref="E187:E196" si="16">SUM(B187:D187)</f>
        <v>1801.2872168600002</v>
      </c>
    </row>
    <row r="188" spans="1:5" x14ac:dyDescent="0.25">
      <c r="A188" s="5">
        <v>1115402</v>
      </c>
      <c r="B188" s="6">
        <v>5262.193536693334</v>
      </c>
      <c r="C188" s="6"/>
      <c r="D188" s="6">
        <v>48776.419246446669</v>
      </c>
      <c r="E188" s="8">
        <f t="shared" si="16"/>
        <v>54038.612783140001</v>
      </c>
    </row>
    <row r="189" spans="1:5" x14ac:dyDescent="0.25">
      <c r="A189" s="5">
        <v>1115403</v>
      </c>
      <c r="B189" s="6">
        <v>3625.0666666666666</v>
      </c>
      <c r="C189" s="8">
        <v>80649.919999999998</v>
      </c>
      <c r="D189" s="6">
        <v>26881.226666666669</v>
      </c>
      <c r="E189" s="8">
        <f t="shared" si="16"/>
        <v>111156.21333333333</v>
      </c>
    </row>
    <row r="190" spans="1:5" x14ac:dyDescent="0.25">
      <c r="A190" s="5">
        <v>1115431</v>
      </c>
      <c r="B190" s="6">
        <v>362.50666666666666</v>
      </c>
      <c r="C190" s="6"/>
      <c r="D190" s="6">
        <v>3360.1533333333336</v>
      </c>
      <c r="E190" s="8">
        <f t="shared" si="16"/>
        <v>3722.6600000000003</v>
      </c>
    </row>
    <row r="191" spans="1:5" x14ac:dyDescent="0.25">
      <c r="A191">
        <v>1118798</v>
      </c>
      <c r="B191" s="6"/>
      <c r="C191" s="6">
        <v>2016.2479999999998</v>
      </c>
      <c r="D191" s="6">
        <v>672.03066666666678</v>
      </c>
      <c r="E191" s="8">
        <f t="shared" si="16"/>
        <v>2688.2786666666666</v>
      </c>
    </row>
    <row r="192" spans="1:5" x14ac:dyDescent="0.25">
      <c r="A192">
        <v>1118799</v>
      </c>
      <c r="B192" s="6"/>
      <c r="C192" s="6">
        <v>2016.2479999999998</v>
      </c>
      <c r="D192" s="6">
        <v>672.03066666666678</v>
      </c>
      <c r="E192" s="8">
        <f t="shared" si="16"/>
        <v>2688.2786666666666</v>
      </c>
    </row>
    <row r="193" spans="1:10" x14ac:dyDescent="0.25">
      <c r="A193">
        <v>1118800</v>
      </c>
      <c r="B193" s="6"/>
      <c r="C193" s="6">
        <v>2016.2479999999998</v>
      </c>
      <c r="D193" s="6">
        <v>672.03066666666678</v>
      </c>
      <c r="E193" s="8">
        <f t="shared" si="16"/>
        <v>2688.2786666666666</v>
      </c>
    </row>
    <row r="194" spans="1:10" x14ac:dyDescent="0.25">
      <c r="A194">
        <v>1118801</v>
      </c>
      <c r="B194" s="6"/>
      <c r="C194" s="6">
        <v>2016.2479999999998</v>
      </c>
      <c r="D194" s="6">
        <v>672.03066666666678</v>
      </c>
      <c r="E194" s="8">
        <f t="shared" si="16"/>
        <v>2688.2786666666666</v>
      </c>
    </row>
    <row r="195" spans="1:10" x14ac:dyDescent="0.25">
      <c r="A195">
        <v>1118802</v>
      </c>
      <c r="B195" s="6"/>
      <c r="C195" s="6">
        <v>2016.2479999999998</v>
      </c>
      <c r="D195" s="6">
        <v>672.03066666666678</v>
      </c>
      <c r="E195" s="8">
        <f t="shared" si="16"/>
        <v>2688.2786666666666</v>
      </c>
    </row>
    <row r="196" spans="1:10" x14ac:dyDescent="0.25">
      <c r="A196">
        <v>1118803</v>
      </c>
      <c r="B196" s="6"/>
      <c r="C196" s="6">
        <v>10081.24</v>
      </c>
      <c r="D196" s="6">
        <v>3360.1533333333336</v>
      </c>
      <c r="E196" s="8">
        <f t="shared" si="16"/>
        <v>13441.393333333333</v>
      </c>
    </row>
    <row r="197" spans="1:10" x14ac:dyDescent="0.25">
      <c r="E197" s="6"/>
    </row>
    <row r="198" spans="1:10" x14ac:dyDescent="0.25">
      <c r="E198" s="6"/>
    </row>
    <row r="199" spans="1:10" x14ac:dyDescent="0.25">
      <c r="A199" s="3" t="s">
        <v>90</v>
      </c>
      <c r="B199" s="3"/>
      <c r="C199" s="3"/>
      <c r="D199" s="3" t="s">
        <v>91</v>
      </c>
      <c r="E199" s="6"/>
    </row>
    <row r="200" spans="1:10" x14ac:dyDescent="0.25">
      <c r="A200" t="s">
        <v>25</v>
      </c>
      <c r="B200" t="s">
        <v>28</v>
      </c>
      <c r="C200" t="s">
        <v>29</v>
      </c>
      <c r="D200" t="s">
        <v>69</v>
      </c>
      <c r="E200" t="s">
        <v>0</v>
      </c>
      <c r="G200" t="s">
        <v>30</v>
      </c>
    </row>
    <row r="201" spans="1:10" x14ac:dyDescent="0.25">
      <c r="A201">
        <v>1005742</v>
      </c>
      <c r="B201" s="6">
        <v>33407.68</v>
      </c>
      <c r="C201" s="6">
        <v>40549.660000000003</v>
      </c>
      <c r="D201">
        <v>0</v>
      </c>
      <c r="E201" s="8">
        <f t="shared" ref="E201:E235" si="17">C201-B201+D201</f>
        <v>7141.9800000000032</v>
      </c>
      <c r="G201" t="s">
        <v>31</v>
      </c>
      <c r="H201" s="2">
        <v>43935</v>
      </c>
    </row>
    <row r="202" spans="1:10" x14ac:dyDescent="0.25">
      <c r="A202">
        <v>1005743</v>
      </c>
      <c r="B202" s="6">
        <v>167038.39000000001</v>
      </c>
      <c r="C202" s="6">
        <v>202748.29</v>
      </c>
      <c r="D202">
        <v>0</v>
      </c>
      <c r="E202" s="8">
        <f t="shared" si="17"/>
        <v>35709.899999999994</v>
      </c>
      <c r="G202" t="s">
        <v>32</v>
      </c>
      <c r="H202" s="2">
        <v>43937</v>
      </c>
    </row>
    <row r="203" spans="1:10" x14ac:dyDescent="0.25">
      <c r="A203">
        <v>1005744</v>
      </c>
      <c r="B203" s="6">
        <v>76837.659999999989</v>
      </c>
      <c r="C203" s="6">
        <v>93264.21</v>
      </c>
      <c r="D203">
        <v>0</v>
      </c>
      <c r="E203" s="8">
        <f t="shared" si="17"/>
        <v>16426.550000000017</v>
      </c>
      <c r="I203" t="s">
        <v>18</v>
      </c>
      <c r="J203" t="s">
        <v>19</v>
      </c>
    </row>
    <row r="204" spans="1:10" x14ac:dyDescent="0.25">
      <c r="A204">
        <v>1005745</v>
      </c>
      <c r="B204" s="6">
        <v>83519.199999999997</v>
      </c>
      <c r="C204" s="6">
        <v>101374.14</v>
      </c>
      <c r="D204">
        <v>0</v>
      </c>
      <c r="E204" s="8">
        <f t="shared" si="17"/>
        <v>17854.940000000002</v>
      </c>
      <c r="H204" t="s">
        <v>33</v>
      </c>
      <c r="I204" s="10" t="s">
        <v>34</v>
      </c>
      <c r="J204" s="10" t="s">
        <v>34</v>
      </c>
    </row>
    <row r="205" spans="1:10" x14ac:dyDescent="0.25">
      <c r="A205">
        <v>1005746</v>
      </c>
      <c r="B205" s="6">
        <v>66815.360000000001</v>
      </c>
      <c r="C205" s="6">
        <v>81099.31</v>
      </c>
      <c r="D205">
        <v>0</v>
      </c>
      <c r="E205" s="8">
        <f t="shared" si="17"/>
        <v>14283.949999999997</v>
      </c>
      <c r="G205" s="2">
        <v>43935</v>
      </c>
      <c r="H205" s="10">
        <v>0</v>
      </c>
      <c r="I205" s="10" t="s">
        <v>34</v>
      </c>
      <c r="J205" s="10" t="s">
        <v>34</v>
      </c>
    </row>
    <row r="206" spans="1:10" x14ac:dyDescent="0.25">
      <c r="A206">
        <v>1005747</v>
      </c>
      <c r="B206" s="6">
        <v>83519.199999999997</v>
      </c>
      <c r="C206" s="6">
        <v>101374.14</v>
      </c>
      <c r="D206">
        <v>0</v>
      </c>
      <c r="E206" s="8">
        <f t="shared" si="17"/>
        <v>17854.940000000002</v>
      </c>
      <c r="G206" s="2">
        <v>43936</v>
      </c>
      <c r="H206" s="10">
        <v>0</v>
      </c>
      <c r="I206" s="10" t="s">
        <v>35</v>
      </c>
      <c r="J206" s="10">
        <v>0</v>
      </c>
    </row>
    <row r="207" spans="1:10" x14ac:dyDescent="0.25">
      <c r="A207">
        <v>1005748</v>
      </c>
      <c r="B207" s="6">
        <v>167038.39000000001</v>
      </c>
      <c r="C207" s="6">
        <v>202748.29</v>
      </c>
      <c r="D207">
        <v>0</v>
      </c>
      <c r="E207" s="8">
        <f t="shared" si="17"/>
        <v>35709.899999999994</v>
      </c>
      <c r="G207" s="2">
        <v>43937</v>
      </c>
      <c r="H207" s="10">
        <v>0</v>
      </c>
    </row>
    <row r="208" spans="1:10" x14ac:dyDescent="0.25">
      <c r="A208">
        <v>1005749</v>
      </c>
      <c r="B208" s="6">
        <v>83519.199999999997</v>
      </c>
      <c r="C208" s="6">
        <v>101374.14</v>
      </c>
      <c r="D208">
        <v>0</v>
      </c>
      <c r="E208" s="8">
        <f t="shared" si="17"/>
        <v>17854.940000000002</v>
      </c>
    </row>
    <row r="209" spans="1:7" x14ac:dyDescent="0.25">
      <c r="A209">
        <v>1005750</v>
      </c>
      <c r="B209" s="6">
        <v>83519.199999999997</v>
      </c>
      <c r="C209" s="6">
        <v>101374.14</v>
      </c>
      <c r="D209">
        <v>0</v>
      </c>
      <c r="E209" s="8">
        <f t="shared" si="17"/>
        <v>17854.940000000002</v>
      </c>
      <c r="G209" t="s">
        <v>36</v>
      </c>
    </row>
    <row r="210" spans="1:7" x14ac:dyDescent="0.25">
      <c r="A210">
        <v>1005751</v>
      </c>
      <c r="B210" s="6">
        <v>167038.39000000001</v>
      </c>
      <c r="C210" s="6">
        <v>202748.29</v>
      </c>
      <c r="D210">
        <v>0</v>
      </c>
      <c r="E210" s="8">
        <f t="shared" si="17"/>
        <v>35709.899999999994</v>
      </c>
      <c r="G210" t="s">
        <v>38</v>
      </c>
    </row>
    <row r="211" spans="1:7" x14ac:dyDescent="0.25">
      <c r="A211">
        <v>1005752</v>
      </c>
      <c r="B211" s="6">
        <v>83519.199999999997</v>
      </c>
      <c r="C211" s="6">
        <v>101374.14</v>
      </c>
      <c r="D211">
        <v>0</v>
      </c>
      <c r="E211" s="8">
        <f t="shared" si="17"/>
        <v>17854.940000000002</v>
      </c>
      <c r="G211" t="s">
        <v>37</v>
      </c>
    </row>
    <row r="212" spans="1:7" x14ac:dyDescent="0.25">
      <c r="A212">
        <v>1005753</v>
      </c>
      <c r="B212" s="6">
        <v>33407.68</v>
      </c>
      <c r="C212" s="6">
        <v>40549.660000000003</v>
      </c>
      <c r="D212">
        <v>0</v>
      </c>
      <c r="E212" s="8">
        <f t="shared" si="17"/>
        <v>7141.9800000000032</v>
      </c>
      <c r="G212" t="s">
        <v>39</v>
      </c>
    </row>
    <row r="213" spans="1:7" x14ac:dyDescent="0.25">
      <c r="A213" s="4">
        <v>1005791</v>
      </c>
      <c r="B213" s="6">
        <v>167038.39000000001</v>
      </c>
      <c r="C213" s="7">
        <v>184734.55</v>
      </c>
      <c r="D213">
        <v>0</v>
      </c>
      <c r="E213" s="8">
        <f t="shared" si="17"/>
        <v>17696.159999999974</v>
      </c>
    </row>
    <row r="214" spans="1:7" x14ac:dyDescent="0.25">
      <c r="A214" s="4">
        <v>1005793</v>
      </c>
      <c r="B214" s="6">
        <v>835191.96000000008</v>
      </c>
      <c r="C214" s="7">
        <v>923672.75</v>
      </c>
      <c r="D214">
        <v>0</v>
      </c>
      <c r="E214" s="8">
        <f t="shared" si="17"/>
        <v>88480.789999999921</v>
      </c>
      <c r="G214" t="s">
        <v>40</v>
      </c>
    </row>
    <row r="215" spans="1:7" x14ac:dyDescent="0.25">
      <c r="A215">
        <v>1005841</v>
      </c>
      <c r="B215" s="6">
        <v>5846.3399999999992</v>
      </c>
      <c r="C215" s="6">
        <v>7096.19</v>
      </c>
      <c r="D215">
        <v>0</v>
      </c>
      <c r="E215" s="8">
        <f t="shared" si="17"/>
        <v>1249.8500000000004</v>
      </c>
      <c r="G215" t="s">
        <v>41</v>
      </c>
    </row>
    <row r="216" spans="1:7" x14ac:dyDescent="0.25">
      <c r="A216">
        <v>1005842</v>
      </c>
      <c r="B216" s="6">
        <v>12861.960000000001</v>
      </c>
      <c r="C216" s="6">
        <v>15611.62</v>
      </c>
      <c r="D216">
        <v>0</v>
      </c>
      <c r="E216" s="8">
        <f t="shared" si="17"/>
        <v>2749.66</v>
      </c>
    </row>
    <row r="217" spans="1:7" x14ac:dyDescent="0.25">
      <c r="A217">
        <v>1005843</v>
      </c>
      <c r="B217" s="6">
        <v>6514.5</v>
      </c>
      <c r="C217" s="6">
        <v>7907.18</v>
      </c>
      <c r="D217">
        <v>0</v>
      </c>
      <c r="E217" s="8">
        <f t="shared" si="17"/>
        <v>1392.6800000000003</v>
      </c>
    </row>
    <row r="218" spans="1:7" x14ac:dyDescent="0.25">
      <c r="A218">
        <v>1005844</v>
      </c>
      <c r="B218" s="6">
        <v>33407.68</v>
      </c>
      <c r="C218" s="6">
        <v>40549.660000000003</v>
      </c>
      <c r="D218">
        <v>0</v>
      </c>
      <c r="E218" s="8">
        <f t="shared" si="17"/>
        <v>7141.9800000000032</v>
      </c>
    </row>
    <row r="219" spans="1:7" x14ac:dyDescent="0.25">
      <c r="A219">
        <v>1007914</v>
      </c>
      <c r="B219" s="6">
        <v>300669.09999999998</v>
      </c>
      <c r="C219" s="6">
        <v>364946.92</v>
      </c>
      <c r="D219">
        <v>0</v>
      </c>
      <c r="E219" s="8">
        <f t="shared" si="17"/>
        <v>64277.820000000007</v>
      </c>
    </row>
    <row r="220" spans="1:7" x14ac:dyDescent="0.25">
      <c r="A220">
        <v>1007921</v>
      </c>
      <c r="B220" s="6">
        <v>1503345.52</v>
      </c>
      <c r="C220" s="6">
        <v>1824734.59</v>
      </c>
      <c r="D220">
        <v>0</v>
      </c>
      <c r="E220" s="8">
        <f t="shared" si="17"/>
        <v>321389.07000000007</v>
      </c>
    </row>
    <row r="221" spans="1:7" x14ac:dyDescent="0.25">
      <c r="A221">
        <v>1007922</v>
      </c>
      <c r="B221" s="6">
        <v>751672.76</v>
      </c>
      <c r="C221" s="6">
        <v>912367.29</v>
      </c>
      <c r="D221">
        <v>0</v>
      </c>
      <c r="E221" s="8">
        <f t="shared" si="17"/>
        <v>160694.53000000003</v>
      </c>
    </row>
    <row r="222" spans="1:7" x14ac:dyDescent="0.25">
      <c r="A222">
        <v>1007923</v>
      </c>
      <c r="B222" s="6">
        <v>501115.17000000004</v>
      </c>
      <c r="C222" s="6">
        <v>608244.86</v>
      </c>
      <c r="D222">
        <v>0</v>
      </c>
      <c r="E222" s="8">
        <f t="shared" si="17"/>
        <v>107129.68999999994</v>
      </c>
    </row>
    <row r="223" spans="1:7" x14ac:dyDescent="0.25">
      <c r="A223">
        <v>1007924</v>
      </c>
      <c r="B223" s="6">
        <v>190423.77</v>
      </c>
      <c r="C223" s="6">
        <v>231133.05</v>
      </c>
      <c r="D223">
        <v>0</v>
      </c>
      <c r="E223" s="8">
        <f t="shared" si="17"/>
        <v>40709.279999999999</v>
      </c>
    </row>
    <row r="224" spans="1:7" x14ac:dyDescent="0.25">
      <c r="A224">
        <v>1007925</v>
      </c>
      <c r="B224" s="6">
        <v>751672.76</v>
      </c>
      <c r="C224" s="6">
        <v>912367.29</v>
      </c>
      <c r="D224">
        <v>0</v>
      </c>
      <c r="E224" s="8">
        <f t="shared" si="17"/>
        <v>160694.53000000003</v>
      </c>
    </row>
    <row r="225" spans="1:5" x14ac:dyDescent="0.25">
      <c r="A225">
        <v>1007926</v>
      </c>
      <c r="B225" s="6">
        <v>601338.21</v>
      </c>
      <c r="C225" s="6">
        <v>729893.83</v>
      </c>
      <c r="D225">
        <v>0</v>
      </c>
      <c r="E225" s="8">
        <f t="shared" si="17"/>
        <v>128555.62</v>
      </c>
    </row>
    <row r="226" spans="1:5" x14ac:dyDescent="0.25">
      <c r="A226">
        <v>1007928</v>
      </c>
      <c r="B226" s="6">
        <v>751672.76</v>
      </c>
      <c r="C226" s="6">
        <v>912367.29</v>
      </c>
      <c r="D226">
        <v>0</v>
      </c>
      <c r="E226" s="8">
        <f t="shared" si="17"/>
        <v>160694.53000000003</v>
      </c>
    </row>
    <row r="227" spans="1:5" x14ac:dyDescent="0.25">
      <c r="A227">
        <v>1007929</v>
      </c>
      <c r="B227" s="6">
        <v>751672.76</v>
      </c>
      <c r="C227" s="6">
        <v>912367.29</v>
      </c>
      <c r="D227">
        <v>0</v>
      </c>
      <c r="E227" s="8">
        <f t="shared" si="17"/>
        <v>160694.53000000003</v>
      </c>
    </row>
    <row r="228" spans="1:5" x14ac:dyDescent="0.25">
      <c r="A228">
        <v>1007930</v>
      </c>
      <c r="B228" s="6">
        <v>1503345.52</v>
      </c>
      <c r="C228" s="6">
        <v>1824734.59</v>
      </c>
      <c r="D228">
        <v>0</v>
      </c>
      <c r="E228" s="8">
        <f t="shared" si="17"/>
        <v>321389.07000000007</v>
      </c>
    </row>
    <row r="229" spans="1:5" x14ac:dyDescent="0.25">
      <c r="A229">
        <v>1007935</v>
      </c>
      <c r="B229" s="6">
        <v>751672.76</v>
      </c>
      <c r="C229" s="6">
        <v>912367.29</v>
      </c>
      <c r="D229">
        <v>0</v>
      </c>
      <c r="E229" s="8">
        <f t="shared" si="17"/>
        <v>160694.53000000003</v>
      </c>
    </row>
    <row r="230" spans="1:5" x14ac:dyDescent="0.25">
      <c r="A230">
        <v>1007937</v>
      </c>
      <c r="B230" s="6">
        <v>300669.09999999998</v>
      </c>
      <c r="C230" s="6">
        <v>364946.92</v>
      </c>
      <c r="D230">
        <v>0</v>
      </c>
      <c r="E230" s="8">
        <f t="shared" si="17"/>
        <v>64277.820000000007</v>
      </c>
    </row>
    <row r="231" spans="1:5" x14ac:dyDescent="0.25">
      <c r="A231">
        <v>1008407</v>
      </c>
      <c r="B231" s="6">
        <v>1503345.52</v>
      </c>
      <c r="C231" s="6">
        <v>1824734.59</v>
      </c>
      <c r="D231">
        <v>0</v>
      </c>
      <c r="E231" s="8">
        <f t="shared" si="17"/>
        <v>321389.07000000007</v>
      </c>
    </row>
    <row r="232" spans="1:5" x14ac:dyDescent="0.25">
      <c r="A232">
        <v>1008480</v>
      </c>
      <c r="B232" s="6">
        <v>31570.26</v>
      </c>
      <c r="C232" s="6">
        <v>38319.43</v>
      </c>
      <c r="D232">
        <v>0</v>
      </c>
      <c r="E232" s="8">
        <f t="shared" si="17"/>
        <v>6749.1700000000019</v>
      </c>
    </row>
    <row r="233" spans="1:5" x14ac:dyDescent="0.25">
      <c r="A233">
        <v>1008482</v>
      </c>
      <c r="B233" s="6">
        <v>86024.77</v>
      </c>
      <c r="C233" s="6">
        <v>104415.37</v>
      </c>
      <c r="D233">
        <v>0</v>
      </c>
      <c r="E233" s="8">
        <f t="shared" si="17"/>
        <v>18390.599999999991</v>
      </c>
    </row>
    <row r="234" spans="1:5" x14ac:dyDescent="0.25">
      <c r="A234">
        <v>1008484</v>
      </c>
      <c r="B234" s="6">
        <v>42928.87</v>
      </c>
      <c r="C234" s="6">
        <v>52106.31</v>
      </c>
      <c r="D234">
        <v>0</v>
      </c>
      <c r="E234" s="8">
        <f t="shared" si="17"/>
        <v>9177.4399999999951</v>
      </c>
    </row>
    <row r="235" spans="1:5" x14ac:dyDescent="0.25">
      <c r="A235">
        <v>1017308</v>
      </c>
      <c r="B235" s="6">
        <v>66815.360000000001</v>
      </c>
      <c r="C235" s="6">
        <v>81099.31</v>
      </c>
      <c r="D235">
        <v>0</v>
      </c>
      <c r="E235" s="8">
        <f t="shared" si="17"/>
        <v>14283.949999999997</v>
      </c>
    </row>
    <row r="236" spans="1:5" x14ac:dyDescent="0.25">
      <c r="D236" t="s">
        <v>0</v>
      </c>
      <c r="E236" s="6">
        <f>SUM(E201:E235)</f>
        <v>2581301.2300000004</v>
      </c>
    </row>
    <row r="237" spans="1:5" x14ac:dyDescent="0.25">
      <c r="C237" t="s">
        <v>24</v>
      </c>
      <c r="E237" s="6">
        <v>2581301.23</v>
      </c>
    </row>
    <row r="239" spans="1:5" x14ac:dyDescent="0.25">
      <c r="A239" t="s">
        <v>92</v>
      </c>
    </row>
    <row r="240" spans="1:5" x14ac:dyDescent="0.25">
      <c r="A240" t="s">
        <v>93</v>
      </c>
    </row>
    <row r="241" spans="1:21" x14ac:dyDescent="0.25">
      <c r="A241" t="s">
        <v>94</v>
      </c>
    </row>
    <row r="243" spans="1:21" x14ac:dyDescent="0.25">
      <c r="A243" t="s">
        <v>2</v>
      </c>
      <c r="B243" t="s">
        <v>3</v>
      </c>
      <c r="C243" t="s">
        <v>4</v>
      </c>
      <c r="D243" t="s">
        <v>5</v>
      </c>
      <c r="E243" t="s">
        <v>6</v>
      </c>
      <c r="F243" t="s">
        <v>7</v>
      </c>
      <c r="G243" t="s">
        <v>8</v>
      </c>
      <c r="H243" t="s">
        <v>9</v>
      </c>
      <c r="I243" t="s">
        <v>10</v>
      </c>
      <c r="J243" t="s">
        <v>11</v>
      </c>
      <c r="K243" t="s">
        <v>12</v>
      </c>
      <c r="L243" t="s">
        <v>42</v>
      </c>
      <c r="M243" t="s">
        <v>43</v>
      </c>
      <c r="N243" t="s">
        <v>44</v>
      </c>
      <c r="O243" t="s">
        <v>13</v>
      </c>
      <c r="P243" t="s">
        <v>14</v>
      </c>
      <c r="Q243" t="s">
        <v>15</v>
      </c>
      <c r="R243" t="s">
        <v>16</v>
      </c>
      <c r="S243" t="s">
        <v>17</v>
      </c>
      <c r="T243" t="s">
        <v>18</v>
      </c>
      <c r="U243" t="s">
        <v>19</v>
      </c>
    </row>
    <row r="244" spans="1:21" x14ac:dyDescent="0.25">
      <c r="A244" t="s">
        <v>45</v>
      </c>
      <c r="B244" t="s">
        <v>21</v>
      </c>
      <c r="C244" t="s">
        <v>22</v>
      </c>
      <c r="D244" s="2">
        <v>43937</v>
      </c>
      <c r="E244">
        <v>69312000</v>
      </c>
      <c r="G244">
        <v>1005791</v>
      </c>
      <c r="H244">
        <v>0</v>
      </c>
      <c r="J244" s="4">
        <v>0</v>
      </c>
      <c r="O244">
        <v>-23833.33</v>
      </c>
      <c r="P244">
        <v>23833.33</v>
      </c>
      <c r="Q244">
        <v>-23833.33</v>
      </c>
      <c r="R244">
        <v>0</v>
      </c>
      <c r="S244">
        <v>0</v>
      </c>
      <c r="T244" s="6">
        <v>-184734.55</v>
      </c>
      <c r="U244">
        <v>0</v>
      </c>
    </row>
    <row r="245" spans="1:21" x14ac:dyDescent="0.25">
      <c r="A245" t="s">
        <v>45</v>
      </c>
      <c r="B245" t="s">
        <v>21</v>
      </c>
      <c r="C245" t="s">
        <v>22</v>
      </c>
      <c r="D245" s="2">
        <v>43937</v>
      </c>
      <c r="E245">
        <v>69312000</v>
      </c>
      <c r="G245">
        <v>1005793</v>
      </c>
      <c r="H245">
        <v>0</v>
      </c>
      <c r="J245" s="4">
        <v>0</v>
      </c>
      <c r="O245">
        <v>-119166.67</v>
      </c>
      <c r="P245">
        <v>119166.67</v>
      </c>
      <c r="Q245">
        <v>-119166.67</v>
      </c>
      <c r="R245">
        <v>0</v>
      </c>
      <c r="S245">
        <v>0</v>
      </c>
      <c r="T245" s="6">
        <v>-923672.75</v>
      </c>
      <c r="U245">
        <v>0</v>
      </c>
    </row>
    <row r="246" spans="1:21" x14ac:dyDescent="0.25">
      <c r="A246" s="12" t="s">
        <v>45</v>
      </c>
      <c r="B246" s="12" t="s">
        <v>21</v>
      </c>
      <c r="C246" s="12" t="s">
        <v>22</v>
      </c>
      <c r="D246" s="13">
        <v>43937</v>
      </c>
      <c r="E246" s="12">
        <v>69312000</v>
      </c>
      <c r="F246" s="12"/>
      <c r="G246" s="12">
        <v>1120374</v>
      </c>
      <c r="H246" s="12">
        <v>0</v>
      </c>
      <c r="I246" s="12"/>
      <c r="J246" s="12">
        <v>0</v>
      </c>
      <c r="K246" s="12"/>
      <c r="L246" s="12"/>
      <c r="M246" s="12"/>
      <c r="N246" s="12"/>
      <c r="O246" s="12">
        <v>143000</v>
      </c>
      <c r="P246" s="12">
        <v>0</v>
      </c>
      <c r="Q246" s="12">
        <v>0</v>
      </c>
      <c r="R246" s="12">
        <v>143000</v>
      </c>
      <c r="S246" s="12">
        <v>0</v>
      </c>
      <c r="T246" s="14">
        <v>1108407.3</v>
      </c>
      <c r="U246" s="12">
        <v>0</v>
      </c>
    </row>
    <row r="248" spans="1:21" x14ac:dyDescent="0.25">
      <c r="A248" t="s">
        <v>70</v>
      </c>
      <c r="C248" s="6">
        <f>T246</f>
        <v>1108407.3</v>
      </c>
      <c r="D248" t="s">
        <v>62</v>
      </c>
    </row>
    <row r="249" spans="1:21" x14ac:dyDescent="0.25">
      <c r="A249" t="s">
        <v>52</v>
      </c>
      <c r="B249" t="s">
        <v>26</v>
      </c>
      <c r="C249" t="s">
        <v>71</v>
      </c>
    </row>
    <row r="250" spans="1:21" x14ac:dyDescent="0.25">
      <c r="A250">
        <v>1005791</v>
      </c>
      <c r="B250">
        <f>J244</f>
        <v>0</v>
      </c>
      <c r="C250" s="21" t="s">
        <v>99</v>
      </c>
    </row>
    <row r="251" spans="1:21" x14ac:dyDescent="0.25">
      <c r="A251">
        <v>1005793</v>
      </c>
      <c r="B251">
        <f>J245</f>
        <v>0</v>
      </c>
      <c r="C251" s="21" t="s">
        <v>99</v>
      </c>
    </row>
    <row r="252" spans="1:21" x14ac:dyDescent="0.25">
      <c r="A252" t="s">
        <v>53</v>
      </c>
      <c r="B252">
        <f>SUM(B250:B251)</f>
        <v>0</v>
      </c>
    </row>
    <row r="254" spans="1:21" x14ac:dyDescent="0.25">
      <c r="A254" t="s">
        <v>104</v>
      </c>
    </row>
    <row r="256" spans="1:21" x14ac:dyDescent="0.25">
      <c r="A256" s="22" t="s">
        <v>105</v>
      </c>
    </row>
    <row r="257" spans="1:3" x14ac:dyDescent="0.25">
      <c r="A257" t="s">
        <v>70</v>
      </c>
      <c r="C257" s="6">
        <f>T246</f>
        <v>1108407.3</v>
      </c>
    </row>
    <row r="258" spans="1:3" x14ac:dyDescent="0.25">
      <c r="A258" t="s">
        <v>52</v>
      </c>
      <c r="B258" t="s">
        <v>26</v>
      </c>
      <c r="C258" t="s">
        <v>18</v>
      </c>
    </row>
    <row r="259" spans="1:3" x14ac:dyDescent="0.25">
      <c r="A259">
        <v>1005791</v>
      </c>
      <c r="B259">
        <f>J252</f>
        <v>0</v>
      </c>
      <c r="C259" s="20">
        <f>T244</f>
        <v>-184734.55</v>
      </c>
    </row>
    <row r="260" spans="1:3" x14ac:dyDescent="0.25">
      <c r="A260">
        <v>1005793</v>
      </c>
      <c r="B260">
        <f>J253</f>
        <v>0</v>
      </c>
      <c r="C260" s="20">
        <f>T245</f>
        <v>-923672.75</v>
      </c>
    </row>
    <row r="262" spans="1:3" x14ac:dyDescent="0.25">
      <c r="A262" t="s">
        <v>100</v>
      </c>
    </row>
    <row r="263" spans="1:3" x14ac:dyDescent="0.25">
      <c r="A263" t="s">
        <v>101</v>
      </c>
    </row>
    <row r="264" spans="1:3" x14ac:dyDescent="0.25">
      <c r="A264" t="s">
        <v>106</v>
      </c>
    </row>
    <row r="266" spans="1:3" x14ac:dyDescent="0.25">
      <c r="A266" s="22" t="s">
        <v>102</v>
      </c>
    </row>
    <row r="267" spans="1:3" x14ac:dyDescent="0.25">
      <c r="A267" t="s">
        <v>70</v>
      </c>
      <c r="C267" s="6">
        <f>C257+C259</f>
        <v>923672.75</v>
      </c>
    </row>
    <row r="268" spans="1:3" x14ac:dyDescent="0.25">
      <c r="A268" t="s">
        <v>52</v>
      </c>
      <c r="B268" t="s">
        <v>26</v>
      </c>
      <c r="C268" t="s">
        <v>18</v>
      </c>
    </row>
    <row r="269" spans="1:3" x14ac:dyDescent="0.25">
      <c r="A269">
        <v>1005793</v>
      </c>
      <c r="B269">
        <f>J264</f>
        <v>0</v>
      </c>
      <c r="C269" s="20">
        <f>C260</f>
        <v>-923672.75</v>
      </c>
    </row>
    <row r="271" spans="1:3" x14ac:dyDescent="0.25">
      <c r="A271" s="22" t="s">
        <v>103</v>
      </c>
    </row>
    <row r="272" spans="1:3" x14ac:dyDescent="0.25">
      <c r="A272" t="s">
        <v>70</v>
      </c>
      <c r="C272" s="6">
        <f>C262+C264</f>
        <v>0</v>
      </c>
    </row>
    <row r="273" spans="1:6" x14ac:dyDescent="0.25">
      <c r="A273" t="s">
        <v>52</v>
      </c>
      <c r="B273" t="s">
        <v>26</v>
      </c>
      <c r="C273" t="s">
        <v>18</v>
      </c>
    </row>
    <row r="274" spans="1:6" x14ac:dyDescent="0.25">
      <c r="C274" s="20"/>
    </row>
    <row r="275" spans="1:6" x14ac:dyDescent="0.25">
      <c r="A275" t="s">
        <v>107</v>
      </c>
    </row>
    <row r="276" spans="1:6" x14ac:dyDescent="0.25">
      <c r="A276" t="s">
        <v>119</v>
      </c>
    </row>
    <row r="278" spans="1:6" x14ac:dyDescent="0.25">
      <c r="A278" t="s">
        <v>70</v>
      </c>
      <c r="C278" s="6" t="s">
        <v>114</v>
      </c>
    </row>
    <row r="279" spans="1:6" x14ac:dyDescent="0.25">
      <c r="A279" t="s">
        <v>52</v>
      </c>
      <c r="B279" t="s">
        <v>26</v>
      </c>
      <c r="C279" t="s">
        <v>0</v>
      </c>
    </row>
    <row r="280" spans="1:6" x14ac:dyDescent="0.25">
      <c r="A280" t="s">
        <v>108</v>
      </c>
      <c r="B280" t="s">
        <v>111</v>
      </c>
      <c r="C280" s="20" t="s">
        <v>115</v>
      </c>
    </row>
    <row r="281" spans="1:6" x14ac:dyDescent="0.25">
      <c r="A281" t="s">
        <v>109</v>
      </c>
      <c r="B281" t="s">
        <v>112</v>
      </c>
      <c r="C281" s="20" t="s">
        <v>117</v>
      </c>
    </row>
    <row r="282" spans="1:6" x14ac:dyDescent="0.25">
      <c r="A282" t="s">
        <v>110</v>
      </c>
      <c r="B282" t="s">
        <v>113</v>
      </c>
      <c r="C282" s="20" t="s">
        <v>118</v>
      </c>
    </row>
    <row r="283" spans="1:6" x14ac:dyDescent="0.25">
      <c r="A283" t="s">
        <v>81</v>
      </c>
      <c r="B283" t="s">
        <v>116</v>
      </c>
    </row>
    <row r="286" spans="1:6" x14ac:dyDescent="0.25">
      <c r="A286" s="3" t="s">
        <v>89</v>
      </c>
      <c r="B286" s="3"/>
      <c r="C286" s="3"/>
      <c r="D286" s="3" t="s">
        <v>47</v>
      </c>
    </row>
    <row r="287" spans="1:6" x14ac:dyDescent="0.25">
      <c r="A287" t="s">
        <v>25</v>
      </c>
      <c r="B287" t="s">
        <v>28</v>
      </c>
      <c r="C287" t="s">
        <v>29</v>
      </c>
      <c r="D287" t="s">
        <v>69</v>
      </c>
      <c r="E287" t="s">
        <v>0</v>
      </c>
      <c r="F287" t="s">
        <v>24</v>
      </c>
    </row>
    <row r="288" spans="1:6" x14ac:dyDescent="0.25">
      <c r="A288">
        <v>1108340</v>
      </c>
      <c r="B288" s="6">
        <v>679093.73</v>
      </c>
      <c r="C288" s="6">
        <v>726198.49</v>
      </c>
      <c r="D288" s="6">
        <v>0</v>
      </c>
      <c r="E288" s="8">
        <f>C288-B288+D288</f>
        <v>47104.760000000009</v>
      </c>
      <c r="F288" s="6">
        <v>47104.76</v>
      </c>
    </row>
    <row r="289" spans="1:22" x14ac:dyDescent="0.25">
      <c r="B289" s="6"/>
      <c r="C289" s="6"/>
      <c r="D289" s="8"/>
      <c r="E289" s="6"/>
    </row>
    <row r="290" spans="1:22" x14ac:dyDescent="0.25">
      <c r="A290" t="s">
        <v>55</v>
      </c>
      <c r="B290" s="6"/>
      <c r="C290" s="6"/>
      <c r="D290" s="8"/>
      <c r="E290" s="6"/>
    </row>
    <row r="291" spans="1:22" x14ac:dyDescent="0.25">
      <c r="A291" t="s">
        <v>56</v>
      </c>
      <c r="B291" s="6"/>
      <c r="C291" s="6"/>
      <c r="D291" s="8"/>
      <c r="E291" s="6"/>
    </row>
    <row r="292" spans="1:22" x14ac:dyDescent="0.25">
      <c r="A292" t="s">
        <v>57</v>
      </c>
      <c r="B292" s="6"/>
      <c r="C292" s="6"/>
      <c r="D292" s="8"/>
      <c r="E292" s="6"/>
    </row>
    <row r="293" spans="1:22" x14ac:dyDescent="0.25">
      <c r="A293" t="s">
        <v>1</v>
      </c>
      <c r="B293" s="6" t="s">
        <v>2</v>
      </c>
      <c r="C293" s="6" t="s">
        <v>3</v>
      </c>
      <c r="D293" s="8" t="s">
        <v>4</v>
      </c>
      <c r="E293" s="6" t="s">
        <v>5</v>
      </c>
      <c r="F293" t="s">
        <v>6</v>
      </c>
      <c r="G293" t="s">
        <v>7</v>
      </c>
      <c r="H293" t="s">
        <v>8</v>
      </c>
      <c r="I293" t="s">
        <v>9</v>
      </c>
      <c r="J293" t="s">
        <v>10</v>
      </c>
      <c r="K293" t="s">
        <v>11</v>
      </c>
      <c r="L293" t="s">
        <v>12</v>
      </c>
      <c r="M293" t="s">
        <v>42</v>
      </c>
      <c r="N293" t="s">
        <v>43</v>
      </c>
      <c r="O293" t="s">
        <v>44</v>
      </c>
      <c r="P293" t="s">
        <v>13</v>
      </c>
      <c r="Q293" t="s">
        <v>14</v>
      </c>
      <c r="R293" t="s">
        <v>15</v>
      </c>
      <c r="S293" t="s">
        <v>16</v>
      </c>
      <c r="T293" t="s">
        <v>17</v>
      </c>
      <c r="U293" t="s">
        <v>18</v>
      </c>
      <c r="V293" t="s">
        <v>19</v>
      </c>
    </row>
    <row r="294" spans="1:22" x14ac:dyDescent="0.25">
      <c r="A294" s="12" t="s">
        <v>20</v>
      </c>
      <c r="B294" s="14" t="s">
        <v>48</v>
      </c>
      <c r="C294" s="14" t="s">
        <v>49</v>
      </c>
      <c r="D294" s="15" t="s">
        <v>22</v>
      </c>
      <c r="E294" s="16">
        <v>43843</v>
      </c>
      <c r="F294" s="12">
        <v>0</v>
      </c>
      <c r="G294" s="12"/>
      <c r="H294" s="12">
        <v>1108338</v>
      </c>
      <c r="I294" s="12">
        <v>0</v>
      </c>
      <c r="J294" s="12"/>
      <c r="K294" s="12">
        <v>0</v>
      </c>
      <c r="L294" s="12"/>
      <c r="M294" s="12"/>
      <c r="N294" s="12"/>
      <c r="O294" s="12"/>
      <c r="P294" s="14">
        <v>726198.49</v>
      </c>
      <c r="Q294" s="14">
        <v>0</v>
      </c>
      <c r="R294" s="14">
        <v>0</v>
      </c>
      <c r="S294" s="14">
        <v>726198.49</v>
      </c>
      <c r="T294" s="14">
        <v>0</v>
      </c>
      <c r="U294" s="14">
        <v>726198.49</v>
      </c>
      <c r="V294" s="12">
        <v>0</v>
      </c>
    </row>
    <row r="295" spans="1:22" x14ac:dyDescent="0.25">
      <c r="A295" t="s">
        <v>20</v>
      </c>
      <c r="B295" s="6" t="s">
        <v>48</v>
      </c>
      <c r="C295" s="6" t="s">
        <v>49</v>
      </c>
      <c r="D295" s="8" t="s">
        <v>22</v>
      </c>
      <c r="E295" s="11">
        <v>43843</v>
      </c>
      <c r="F295">
        <v>0</v>
      </c>
      <c r="H295">
        <v>1108340</v>
      </c>
      <c r="I295">
        <v>0</v>
      </c>
      <c r="K295">
        <v>0</v>
      </c>
      <c r="P295" s="6">
        <v>-726198.49</v>
      </c>
      <c r="Q295" s="6">
        <v>726198.49</v>
      </c>
      <c r="R295" s="6">
        <v>-726198.49</v>
      </c>
      <c r="S295" s="6">
        <v>0</v>
      </c>
      <c r="T295" s="6">
        <v>0</v>
      </c>
      <c r="U295" s="6">
        <v>-726198.49</v>
      </c>
      <c r="V295">
        <v>0</v>
      </c>
    </row>
    <row r="297" spans="1:22" x14ac:dyDescent="0.25">
      <c r="A297" t="s">
        <v>120</v>
      </c>
    </row>
  </sheetData>
  <mergeCells count="4">
    <mergeCell ref="E115:F116"/>
    <mergeCell ref="E139:F140"/>
    <mergeCell ref="E170:F171"/>
    <mergeCell ref="B184:E184"/>
  </mergeCells>
  <pageMargins left="0.7" right="0.7" top="0.75" bottom="0.75" header="0.3" footer="0.3"/>
  <pageSetup paperSize="9" orientation="portrait" r:id="rId1"/>
  <ignoredErrors>
    <ignoredError sqref="C70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ABBA213F535143A2153FAFFCD4B404" ma:contentTypeVersion="9" ma:contentTypeDescription="Create a new document." ma:contentTypeScope="" ma:versionID="00705d5726f6d16a2d41866951f40978">
  <xsd:schema xmlns:xsd="http://www.w3.org/2001/XMLSchema" xmlns:xs="http://www.w3.org/2001/XMLSchema" xmlns:p="http://schemas.microsoft.com/office/2006/metadata/properties" xmlns:ns2="56ce6572-a240-4cd6-8225-c99230995deb" targetNamespace="http://schemas.microsoft.com/office/2006/metadata/properties" ma:root="true" ma:fieldsID="da66d2f5d03ddcf0575955673b1bb8c9" ns2:_="">
    <xsd:import namespace="56ce6572-a240-4cd6-8225-c99230995de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ce6572-a240-4cd6-8225-c99230995d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CF752EA-8C3D-49D6-BA76-CD10A9A117B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ce6572-a240-4cd6-8225-c99230995de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D5D619-8B2D-4F02-88F7-AF4B83361BA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6950AF1-3B0F-4325-898D-5495113D013F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Zhang</dc:creator>
  <cp:lastModifiedBy>Steven Zhang</cp:lastModifiedBy>
  <dcterms:created xsi:type="dcterms:W3CDTF">2020-12-06T00:09:02Z</dcterms:created>
  <dcterms:modified xsi:type="dcterms:W3CDTF">2020-12-11T10:55:30Z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0x010100A3ABBA213F535143A2153FAFFCD4B404</vt:lpwstr>
  </property>
</Properties>
</file>